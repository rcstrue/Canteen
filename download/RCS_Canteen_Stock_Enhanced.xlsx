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Purchase" sheetId="2" state="visible" r:id="rId2"/>
    <sheet xmlns:r="http://schemas.openxmlformats.org/officeDocument/2006/relationships" name="Use" sheetId="3" state="visible" r:id="rId3"/>
    <sheet xmlns:r="http://schemas.openxmlformats.org/officeDocument/2006/relationships" name="Meal" sheetId="4" state="visible" r:id="rId4"/>
    <sheet xmlns:r="http://schemas.openxmlformats.org/officeDocument/2006/relationships" name="Stock Report" sheetId="5" state="visible" r:id="rId5"/>
    <sheet xmlns:r="http://schemas.openxmlformats.org/officeDocument/2006/relationships" name="Supplier Master" sheetId="6" state="visible" r:id="rId6"/>
    <sheet xmlns:r="http://schemas.openxmlformats.org/officeDocument/2006/relationships" name="Ingredient Master" sheetId="7" state="visible" r:id="rId7"/>
    <sheet xmlns:r="http://schemas.openxmlformats.org/officeDocument/2006/relationships" name="Recipe" sheetId="8" state="visible" r:id="rId8"/>
    <sheet xmlns:r="http://schemas.openxmlformats.org/officeDocument/2006/relationships" name="Recipe Ingredient" sheetId="9" state="visible" r:id="rId9"/>
    <sheet xmlns:r="http://schemas.openxmlformats.org/officeDocument/2006/relationships" name="Budget" sheetId="10" state="visible" r:id="rId10"/>
    <sheet xmlns:r="http://schemas.openxmlformats.org/officeDocument/2006/relationships" name="Expense" sheetId="11" state="visible" r:id="rId11"/>
    <sheet xmlns:r="http://schemas.openxmlformats.org/officeDocument/2006/relationships" name="Daily Meal Served" sheetId="12" state="visible" r:id="rId12"/>
    <sheet xmlns:r="http://schemas.openxmlformats.org/officeDocument/2006/relationships" name="Stock Movement" sheetId="13" state="visible" r:id="rId13"/>
    <sheet xmlns:r="http://schemas.openxmlformats.org/officeDocument/2006/relationships" name="Audit Log" sheetId="14" state="visible" r:id="rId14"/>
    <sheet xmlns:r="http://schemas.openxmlformats.org/officeDocument/2006/relationships" name="Us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\ #,##0.00"/>
    <numFmt numFmtId="165" formatCode="0.0"/>
    <numFmt numFmtId="166" formatCode="yyyy-mm-dd h:mm:ss"/>
    <numFmt numFmtId="167" formatCode="0.0%"/>
    <numFmt numFmtId="168" formatCode="#,##0.0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b val="1"/>
      <color theme="1"/>
      <sz val="12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 style="thick">
        <color theme="4" tint="0.499984740745262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2" pivotButton="0" quotePrefix="0" xfId="0"/>
    <xf numFmtId="1" fontId="3" fillId="0" borderId="2" pivotButton="0" quotePrefix="0" xfId="0"/>
    <xf numFmtId="2" fontId="3" fillId="0" borderId="2" pivotButton="0" quotePrefix="0" xfId="0"/>
    <xf numFmtId="164" fontId="3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0" fontId="3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Continuous"/>
    </xf>
    <xf numFmtId="14" fontId="4" fillId="0" borderId="3" applyAlignment="1" pivotButton="0" quotePrefix="0" xfId="0">
      <alignment horizontal="centerContinuous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 indent="1"/>
    </xf>
    <xf numFmtId="14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right" vertical="center" indent="1"/>
    </xf>
    <xf numFmtId="0" fontId="4" fillId="0" borderId="4" applyAlignment="1" pivotButton="0" quotePrefix="0" xfId="0">
      <alignment horizontal="centerContinuous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centerContinuous"/>
    </xf>
    <xf numFmtId="0" fontId="6" fillId="3" borderId="2" applyAlignment="1" pivotButton="0" quotePrefix="0" xfId="0">
      <alignment horizontal="center" vertical="center" wrapText="1"/>
    </xf>
    <xf numFmtId="164" fontId="0" fillId="0" borderId="2" pivotButton="0" quotePrefix="0" xfId="0"/>
    <xf numFmtId="0" fontId="0" fillId="0" borderId="5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4" fillId="0" borderId="4" applyAlignment="1" pivotButton="0" quotePrefix="0" xfId="0">
      <alignment horizontal="centerContinuous" vertical="center"/>
    </xf>
    <xf numFmtId="22" fontId="4" fillId="0" borderId="4" applyAlignment="1" pivotButton="0" quotePrefix="0" xfId="0">
      <alignment horizontal="centerContinuous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4" borderId="6" applyAlignment="1" pivotButton="0" quotePrefix="0" xfId="0">
      <alignment horizontal="center" vertical="center" wrapText="1"/>
    </xf>
    <xf numFmtId="0" fontId="9" fillId="5" borderId="0" pivotButton="0" quotePrefix="0" xfId="0"/>
    <xf numFmtId="165" fontId="9" fillId="5" borderId="0" pivotButton="0" quotePrefix="0" xfId="0"/>
    <xf numFmtId="167" fontId="9" fillId="5" borderId="0" pivotButton="0" quotePrefix="0" xfId="0"/>
    <xf numFmtId="0" fontId="9" fillId="6" borderId="0" pivotButton="0" quotePrefix="0" xfId="0"/>
    <xf numFmtId="165" fontId="9" fillId="6" borderId="0" pivotButton="0" quotePrefix="0" xfId="0"/>
    <xf numFmtId="167" fontId="9" fillId="6" borderId="0" pivotButton="0" quotePrefix="0" xfId="0"/>
    <xf numFmtId="168" fontId="9" fillId="5" borderId="0" pivotButton="0" quotePrefix="0" xfId="0"/>
    <xf numFmtId="4" fontId="9" fillId="5" borderId="0" pivotButton="0" quotePrefix="0" xfId="0"/>
    <xf numFmtId="168" fontId="9" fillId="6" borderId="0" pivotButton="0" quotePrefix="0" xfId="0"/>
    <xf numFmtId="4" fontId="9" fillId="6" borderId="0" pivotButton="0" quotePrefix="0" xfId="0"/>
    <xf numFmtId="3" fontId="9" fillId="5" borderId="0" pivotButton="0" quotePrefix="0" xfId="0"/>
    <xf numFmtId="1" fontId="9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9.77734375" customWidth="1" min="2" max="2"/>
    <col width="13.21875" customWidth="1" min="3" max="3"/>
    <col width="6.33203125" customWidth="1" min="4" max="4"/>
    <col width="10.44140625" customWidth="1" min="5" max="5"/>
    <col width="19.33203125" customWidth="1" min="6" max="6"/>
    <col width="15.109375" customWidth="1" min="7" max="7"/>
  </cols>
  <sheetData>
    <row r="1" ht="20.4" customHeight="1">
      <c r="A1" s="1" t="inlineStr">
        <is>
          <t>Item Master</t>
        </is>
      </c>
      <c r="B1" s="2" t="n"/>
      <c r="C1" s="2" t="n"/>
      <c r="E1" s="1">
        <f>+CONCATENATE("Dashboard ",TEXT(Use!A4,"MMMM YYYY"),"")</f>
        <v/>
      </c>
      <c r="F1" s="2" t="n"/>
      <c r="G1" s="2" t="n"/>
    </row>
    <row r="2" ht="15" customHeight="1">
      <c r="A2" s="3" t="n"/>
      <c r="B2" s="4" t="n"/>
      <c r="C2" s="3" t="n"/>
    </row>
    <row r="3" ht="18" customHeight="1">
      <c r="A3" s="5" t="inlineStr">
        <is>
          <t>NO</t>
        </is>
      </c>
      <c r="B3" s="6" t="inlineStr">
        <is>
          <t>ITEM</t>
        </is>
      </c>
      <c r="C3" s="5" t="inlineStr">
        <is>
          <t>NOS</t>
        </is>
      </c>
      <c r="E3" s="5" t="inlineStr">
        <is>
          <t>NO</t>
        </is>
      </c>
      <c r="F3" s="6" t="inlineStr">
        <is>
          <t>Particular</t>
        </is>
      </c>
      <c r="G3" s="5" t="inlineStr">
        <is>
          <t>Amount</t>
        </is>
      </c>
    </row>
    <row r="4">
      <c r="A4" s="7" t="n">
        <v>1</v>
      </c>
      <c r="B4" s="7" t="inlineStr">
        <is>
          <t>Rice</t>
        </is>
      </c>
      <c r="C4" s="8" t="inlineStr">
        <is>
          <t>Kg</t>
        </is>
      </c>
      <c r="E4" s="9" t="n">
        <v>1</v>
      </c>
      <c r="F4" s="10" t="inlineStr">
        <is>
          <t>Total Stock Purchase</t>
        </is>
      </c>
      <c r="G4" s="11">
        <f>+Purchase!H1003</f>
        <v/>
      </c>
    </row>
    <row r="5">
      <c r="A5" s="7">
        <f>+A4+1</f>
        <v/>
      </c>
      <c r="B5" s="7" t="inlineStr">
        <is>
          <t>Atta</t>
        </is>
      </c>
      <c r="C5" s="8" t="inlineStr">
        <is>
          <t>Kg</t>
        </is>
      </c>
      <c r="E5" s="9">
        <f>+E4+1</f>
        <v/>
      </c>
      <c r="F5" s="10" t="inlineStr">
        <is>
          <t>Total Stock Used</t>
        </is>
      </c>
      <c r="G5" s="10">
        <f>+Use!G1865</f>
        <v/>
      </c>
    </row>
    <row r="6">
      <c r="A6" s="7">
        <f>+A5+1</f>
        <v/>
      </c>
      <c r="B6" s="7" t="inlineStr">
        <is>
          <t>Oil</t>
        </is>
      </c>
      <c r="C6" s="8" t="inlineStr">
        <is>
          <t>Liter</t>
        </is>
      </c>
      <c r="E6" s="9">
        <f>+E5+1</f>
        <v/>
      </c>
      <c r="F6" s="10" t="inlineStr">
        <is>
          <t>Current Stock Value</t>
        </is>
      </c>
      <c r="G6" s="11">
        <f>+G4-G5</f>
        <v/>
      </c>
    </row>
    <row r="7">
      <c r="A7" s="7">
        <f>+A6+1</f>
        <v/>
      </c>
      <c r="B7" s="7" t="inlineStr">
        <is>
          <t>Dal (Toor)</t>
        </is>
      </c>
      <c r="C7" s="8" t="inlineStr">
        <is>
          <t>Kg</t>
        </is>
      </c>
      <c r="E7" s="9">
        <f>+E6+1</f>
        <v/>
      </c>
      <c r="F7" s="10" t="inlineStr">
        <is>
          <t>Total Lunch Count</t>
        </is>
      </c>
      <c r="G7" s="10">
        <f>+Meal!B35</f>
        <v/>
      </c>
    </row>
    <row r="8">
      <c r="A8" s="7">
        <f>+A7+1</f>
        <v/>
      </c>
      <c r="B8" s="7" t="inlineStr">
        <is>
          <t>Salt</t>
        </is>
      </c>
      <c r="C8" s="8" t="inlineStr">
        <is>
          <t>Kg</t>
        </is>
      </c>
      <c r="E8" s="9">
        <f>+E7+1</f>
        <v/>
      </c>
      <c r="F8" s="10" t="inlineStr">
        <is>
          <t>Total Dinner Count</t>
        </is>
      </c>
      <c r="G8" s="10">
        <f>+Meal!C35</f>
        <v/>
      </c>
    </row>
    <row r="9">
      <c r="A9" s="7">
        <f>+A8+1</f>
        <v/>
      </c>
      <c r="B9" s="7" t="inlineStr">
        <is>
          <t>Mirch-P</t>
        </is>
      </c>
      <c r="C9" s="8" t="inlineStr">
        <is>
          <t>Gram</t>
        </is>
      </c>
      <c r="E9" s="9">
        <f>+E8+1</f>
        <v/>
      </c>
      <c r="F9" s="10" t="inlineStr">
        <is>
          <t>Cost Per Lunch</t>
        </is>
      </c>
      <c r="G9" s="12">
        <f>+Meal!F35</f>
        <v/>
      </c>
    </row>
    <row r="10">
      <c r="A10" s="7">
        <f>+A9+1</f>
        <v/>
      </c>
      <c r="B10" s="7" t="inlineStr">
        <is>
          <t>Haldi-P</t>
        </is>
      </c>
      <c r="C10" s="8" t="inlineStr">
        <is>
          <t>Gram</t>
        </is>
      </c>
      <c r="E10" s="9">
        <f>+E9+1</f>
        <v/>
      </c>
      <c r="F10" s="10" t="inlineStr">
        <is>
          <t>Cost Per Dinner</t>
        </is>
      </c>
      <c r="G10" s="12">
        <f>+Meal!G35</f>
        <v/>
      </c>
    </row>
    <row r="11">
      <c r="A11" s="7">
        <f>+A10+1</f>
        <v/>
      </c>
      <c r="B11" s="7" t="inlineStr">
        <is>
          <t>Jeera</t>
        </is>
      </c>
      <c r="C11" s="8" t="inlineStr">
        <is>
          <t>Gram</t>
        </is>
      </c>
      <c r="E11" s="9" t="n"/>
      <c r="F11" s="10" t="n"/>
      <c r="G11" s="10" t="n"/>
    </row>
    <row r="12">
      <c r="A12" s="7">
        <f>+A11+1</f>
        <v/>
      </c>
      <c r="B12" s="7" t="inlineStr">
        <is>
          <t>Sukha Mirch</t>
        </is>
      </c>
      <c r="C12" s="8" t="inlineStr">
        <is>
          <t>Gram</t>
        </is>
      </c>
      <c r="E12" s="9" t="n"/>
      <c r="F12" s="10" t="n"/>
      <c r="G12" s="10" t="n"/>
    </row>
    <row r="13">
      <c r="A13" s="7">
        <f>+A12+1</f>
        <v/>
      </c>
      <c r="B13" s="7" t="inlineStr">
        <is>
          <t>Tej Patta</t>
        </is>
      </c>
      <c r="C13" s="8" t="inlineStr">
        <is>
          <t>Gram</t>
        </is>
      </c>
      <c r="E13" s="9" t="n"/>
      <c r="F13" s="10" t="n"/>
      <c r="G13" s="10" t="n"/>
    </row>
    <row r="14">
      <c r="A14" s="7">
        <f>+A13+1</f>
        <v/>
      </c>
      <c r="B14" s="7" t="inlineStr">
        <is>
          <t>Akha Masala</t>
        </is>
      </c>
      <c r="C14" s="8" t="inlineStr">
        <is>
          <t>Gram</t>
        </is>
      </c>
      <c r="E14" s="9" t="n"/>
      <c r="F14" s="10" t="n"/>
      <c r="G14" s="10" t="n"/>
    </row>
    <row r="15" ht="20.4" customHeight="1">
      <c r="A15" s="7">
        <f>+A14+1</f>
        <v/>
      </c>
      <c r="B15" s="7" t="inlineStr">
        <is>
          <t>Rai</t>
        </is>
      </c>
      <c r="C15" s="8" t="inlineStr">
        <is>
          <t>Gram</t>
        </is>
      </c>
      <c r="E15" s="1" t="inlineStr">
        <is>
          <t>Other Expanse</t>
        </is>
      </c>
      <c r="F15" s="2" t="n"/>
      <c r="G15" s="2" t="n"/>
    </row>
    <row r="16" ht="15" customHeight="1">
      <c r="A16" s="7">
        <f>+A15+1</f>
        <v/>
      </c>
      <c r="B16" s="7" t="inlineStr">
        <is>
          <t>Dhania P</t>
        </is>
      </c>
      <c r="C16" s="8" t="inlineStr">
        <is>
          <t>Gram</t>
        </is>
      </c>
      <c r="E16" s="3" t="n"/>
      <c r="F16" s="4" t="n"/>
      <c r="G16" s="3" t="n"/>
    </row>
    <row r="17" ht="18" customHeight="1">
      <c r="A17" s="7">
        <f>+A16+1</f>
        <v/>
      </c>
      <c r="B17" s="7" t="inlineStr">
        <is>
          <t>Garam Masala</t>
        </is>
      </c>
      <c r="C17" s="8" t="inlineStr">
        <is>
          <t>Gram</t>
        </is>
      </c>
      <c r="E17" s="5" t="inlineStr">
        <is>
          <t>NO</t>
        </is>
      </c>
      <c r="F17" s="6" t="inlineStr">
        <is>
          <t>Particular</t>
        </is>
      </c>
      <c r="G17" s="5" t="inlineStr">
        <is>
          <t>Amount</t>
        </is>
      </c>
    </row>
    <row r="18">
      <c r="A18" s="7">
        <f>+A17+1</f>
        <v/>
      </c>
      <c r="B18" s="7" t="inlineStr">
        <is>
          <t>EGG</t>
        </is>
      </c>
      <c r="C18" s="8" t="inlineStr">
        <is>
          <t>Nos</t>
        </is>
      </c>
      <c r="E18" s="7" t="n">
        <v>1</v>
      </c>
      <c r="F18" s="10" t="inlineStr">
        <is>
          <t>Total Stock Used</t>
        </is>
      </c>
      <c r="G18" s="13">
        <f>+G5</f>
        <v/>
      </c>
    </row>
    <row r="19">
      <c r="A19" s="7">
        <f>+A18+1</f>
        <v/>
      </c>
      <c r="B19" s="7" t="inlineStr">
        <is>
          <t>FISH</t>
        </is>
      </c>
      <c r="C19" s="8" t="inlineStr">
        <is>
          <t>Kg</t>
        </is>
      </c>
      <c r="E19" s="7">
        <f>+E18+1</f>
        <v/>
      </c>
      <c r="F19" s="14" t="inlineStr">
        <is>
          <t>Canteen Salary</t>
        </is>
      </c>
      <c r="G19" s="15" t="n">
        <v>171000</v>
      </c>
    </row>
    <row r="20">
      <c r="A20" s="7">
        <f>+A19+1</f>
        <v/>
      </c>
      <c r="B20" s="7" t="inlineStr">
        <is>
          <t>CHICKEN</t>
        </is>
      </c>
      <c r="C20" s="8" t="inlineStr">
        <is>
          <t>Kg</t>
        </is>
      </c>
      <c r="E20" s="7">
        <f>+E19+1</f>
        <v/>
      </c>
      <c r="F20" s="14" t="inlineStr">
        <is>
          <t>Gas</t>
        </is>
      </c>
      <c r="G20" s="15" t="n">
        <v>2000</v>
      </c>
    </row>
    <row r="21">
      <c r="A21" s="7">
        <f>+A20+1</f>
        <v/>
      </c>
      <c r="B21" s="7" t="inlineStr">
        <is>
          <t>Aloo</t>
        </is>
      </c>
      <c r="C21" s="8" t="inlineStr">
        <is>
          <t>Kg</t>
        </is>
      </c>
      <c r="E21" s="7">
        <f>+E20+1</f>
        <v/>
      </c>
      <c r="F21" s="14" t="inlineStr">
        <is>
          <t>Wood</t>
        </is>
      </c>
      <c r="G21" s="15" t="n">
        <v>5000</v>
      </c>
    </row>
    <row r="22">
      <c r="A22" s="7">
        <f>+A21+1</f>
        <v/>
      </c>
      <c r="B22" s="7" t="inlineStr">
        <is>
          <t>Galka</t>
        </is>
      </c>
      <c r="C22" s="8" t="inlineStr">
        <is>
          <t>Kg</t>
        </is>
      </c>
      <c r="E22" s="7">
        <f>+E21+1</f>
        <v/>
      </c>
      <c r="F22" s="14" t="n"/>
      <c r="G22" s="15" t="n"/>
    </row>
    <row r="23">
      <c r="A23" s="7">
        <f>+A22+1</f>
        <v/>
      </c>
      <c r="B23" s="7" t="inlineStr">
        <is>
          <t>Tomato</t>
        </is>
      </c>
      <c r="C23" s="8" t="inlineStr">
        <is>
          <t>Kg</t>
        </is>
      </c>
      <c r="E23" s="7">
        <f>+E22+1</f>
        <v/>
      </c>
      <c r="F23" s="14" t="n"/>
      <c r="G23" s="15" t="n"/>
    </row>
    <row r="24">
      <c r="A24" s="7">
        <f>+A23+1</f>
        <v/>
      </c>
      <c r="B24" s="7" t="inlineStr">
        <is>
          <t>Onion</t>
        </is>
      </c>
      <c r="C24" s="8" t="inlineStr">
        <is>
          <t>Kg</t>
        </is>
      </c>
      <c r="E24" s="7">
        <f>+E23+1</f>
        <v/>
      </c>
      <c r="F24" s="14" t="n"/>
      <c r="G24" s="15" t="n"/>
    </row>
    <row r="25">
      <c r="A25" s="7">
        <f>+A24+1</f>
        <v/>
      </c>
      <c r="B25" s="7" t="inlineStr">
        <is>
          <t>Adrak</t>
        </is>
      </c>
      <c r="C25" s="8" t="inlineStr">
        <is>
          <t>Kg</t>
        </is>
      </c>
      <c r="E25" s="7">
        <f>+E24+1</f>
        <v/>
      </c>
      <c r="F25" s="14" t="n"/>
      <c r="G25" s="15" t="n"/>
    </row>
    <row r="26">
      <c r="A26" s="7">
        <f>+A25+1</f>
        <v/>
      </c>
      <c r="B26" s="7" t="inlineStr">
        <is>
          <t>Lehsun</t>
        </is>
      </c>
      <c r="C26" s="8" t="inlineStr">
        <is>
          <t>Kg</t>
        </is>
      </c>
      <c r="E26" s="7">
        <f>+E25+1</f>
        <v/>
      </c>
      <c r="F26" s="14" t="n"/>
      <c r="G26" s="15" t="n"/>
    </row>
    <row r="27">
      <c r="A27" s="7">
        <f>+A26+1</f>
        <v/>
      </c>
      <c r="B27" s="7" t="inlineStr">
        <is>
          <t>Hari Mirch</t>
        </is>
      </c>
      <c r="C27" s="8" t="inlineStr">
        <is>
          <t>Gram</t>
        </is>
      </c>
      <c r="E27" s="7">
        <f>+E26+1</f>
        <v/>
      </c>
      <c r="F27" s="14" t="n"/>
      <c r="G27" s="15" t="n"/>
    </row>
    <row r="28">
      <c r="A28" s="7">
        <f>+A27+1</f>
        <v/>
      </c>
      <c r="B28" s="7" t="inlineStr">
        <is>
          <t>MIX VEG</t>
        </is>
      </c>
      <c r="C28" s="8" t="inlineStr">
        <is>
          <t>Kg</t>
        </is>
      </c>
      <c r="E28" s="7" t="inlineStr">
        <is>
          <t>Total</t>
        </is>
      </c>
      <c r="F28" s="7" t="n"/>
      <c r="G28" s="15">
        <f>SUM(G18:G27)</f>
        <v/>
      </c>
    </row>
    <row r="29">
      <c r="A29" s="7">
        <f>+A28+1</f>
        <v/>
      </c>
      <c r="B29" s="7" t="inlineStr">
        <is>
          <t>Other 2</t>
        </is>
      </c>
      <c r="C29" s="8" t="inlineStr">
        <is>
          <t>Kg</t>
        </is>
      </c>
      <c r="E29" s="16" t="n"/>
      <c r="F29" s="16" t="inlineStr">
        <is>
          <t>Totel Meal</t>
        </is>
      </c>
      <c r="G29" s="17">
        <f>+G7+G8</f>
        <v/>
      </c>
    </row>
    <row r="30">
      <c r="A30" s="7">
        <f>+A29+1</f>
        <v/>
      </c>
      <c r="B30" s="7" t="inlineStr">
        <is>
          <t>Other 3</t>
        </is>
      </c>
      <c r="C30" s="8" t="inlineStr">
        <is>
          <t>Kg</t>
        </is>
      </c>
      <c r="E30" s="16" t="n"/>
      <c r="F30" s="16" t="inlineStr">
        <is>
          <t>Per Meal Cost</t>
        </is>
      </c>
      <c r="G30" s="18">
        <f>+G28/(Meal!B35+Meal!C35)</f>
        <v/>
      </c>
    </row>
    <row r="31">
      <c r="A31" s="7">
        <f>+A30+1</f>
        <v/>
      </c>
      <c r="B31" s="7" t="inlineStr">
        <is>
          <t>Other 4</t>
        </is>
      </c>
      <c r="C31" s="8" t="inlineStr">
        <is>
          <t>Kg</t>
        </is>
      </c>
    </row>
    <row r="32">
      <c r="A32" s="7">
        <f>+A31+1</f>
        <v/>
      </c>
      <c r="B32" s="7" t="inlineStr">
        <is>
          <t>Other 5</t>
        </is>
      </c>
      <c r="C32" s="8" t="inlineStr">
        <is>
          <t>Kg</t>
        </is>
      </c>
    </row>
    <row r="33">
      <c r="A33" s="7">
        <f>+A32+1</f>
        <v/>
      </c>
      <c r="B33" s="7" t="inlineStr">
        <is>
          <t>Other 6</t>
        </is>
      </c>
      <c r="C33" s="8" t="inlineStr">
        <is>
          <t>Kg</t>
        </is>
      </c>
    </row>
  </sheetData>
  <mergeCells count="3">
    <mergeCell ref="A1:C1"/>
    <mergeCell ref="E15:G15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cols>
    <col width="13.77734375" customWidth="1" min="1" max="1"/>
    <col width="9.5546875" customWidth="1" min="2" max="2"/>
    <col width="12.6640625" customWidth="1" min="3" max="3"/>
    <col width="17.5546875" customWidth="1" min="4" max="4"/>
    <col width="8.44140625" customWidth="1" min="5" max="5"/>
    <col width="8.88671875" customWidth="1" min="6" max="6"/>
    <col width="12" customWidth="1" min="7" max="7"/>
    <col width="17.21875" customWidth="1" min="8" max="8"/>
    <col width="8.88671875" customWidth="1" min="9" max="9"/>
  </cols>
  <sheetData>
    <row r="1" ht="20.4" customHeight="1">
      <c r="A1" s="19" t="inlineStr">
        <is>
          <t>RCS CANTEEN PURCHASE ENTRY</t>
        </is>
      </c>
      <c r="B1" s="19" t="n"/>
      <c r="C1" s="19" t="n"/>
      <c r="D1" s="19" t="n"/>
      <c r="E1" s="19" t="n"/>
      <c r="F1" s="19" t="n"/>
      <c r="G1" s="19" t="n"/>
      <c r="H1" s="19" t="n"/>
    </row>
    <row r="2" ht="18.6" customHeight="1">
      <c r="A2" s="20">
        <f>TEXT(+A4,"MMMM YYYY")</f>
        <v/>
      </c>
      <c r="B2" s="20" t="n"/>
      <c r="C2" s="20" t="n"/>
      <c r="D2" s="20" t="n"/>
      <c r="E2" s="20" t="n"/>
      <c r="F2" s="20" t="n"/>
      <c r="G2" s="20" t="n"/>
      <c r="H2" s="20" t="n"/>
    </row>
    <row r="3" ht="18.6" customHeight="1">
      <c r="A3" s="5" t="inlineStr">
        <is>
          <t>Date</t>
        </is>
      </c>
      <c r="B3" s="6" t="inlineStr">
        <is>
          <t>Bill No</t>
        </is>
      </c>
      <c r="C3" s="5" t="inlineStr">
        <is>
          <t>Supplier</t>
        </is>
      </c>
      <c r="D3" s="5" t="inlineStr">
        <is>
          <t>Item</t>
        </is>
      </c>
      <c r="E3" s="5" t="inlineStr">
        <is>
          <t>Qty</t>
        </is>
      </c>
      <c r="F3" s="5" t="inlineStr">
        <is>
          <t>Unit</t>
        </is>
      </c>
      <c r="G3" s="5" t="inlineStr">
        <is>
          <t xml:space="preserve">Rate </t>
        </is>
      </c>
      <c r="H3" s="5" t="inlineStr">
        <is>
          <t>Amount</t>
        </is>
      </c>
    </row>
    <row r="4">
      <c r="A4" s="8" t="n">
        <v>46235</v>
      </c>
      <c r="B4" s="7" t="n">
        <v>1</v>
      </c>
      <c r="C4" s="8" t="inlineStr">
        <is>
          <t>ABC</t>
        </is>
      </c>
      <c r="D4" s="21" t="inlineStr">
        <is>
          <t>Rice</t>
        </is>
      </c>
      <c r="E4" s="22" t="n">
        <v>500</v>
      </c>
      <c r="F4" s="22">
        <f>IFERROR(+VLOOKUP(D4,Master!B:C,2,0),"")</f>
        <v/>
      </c>
      <c r="G4" s="23" t="n">
        <v>55</v>
      </c>
      <c r="H4" s="23">
        <f>+E4*G4</f>
        <v/>
      </c>
    </row>
    <row r="5">
      <c r="A5" s="8" t="n">
        <v>46235</v>
      </c>
      <c r="B5" s="7" t="n">
        <v>1</v>
      </c>
      <c r="C5" s="8" t="inlineStr">
        <is>
          <t>ABC</t>
        </is>
      </c>
      <c r="D5" s="21" t="inlineStr">
        <is>
          <t>Atta</t>
        </is>
      </c>
      <c r="E5" s="22" t="n">
        <v>500</v>
      </c>
      <c r="F5" s="22">
        <f>IFERROR(+VLOOKUP(D5,Master!B:C,2,0),"")</f>
        <v/>
      </c>
      <c r="G5" s="23" t="n">
        <v>39</v>
      </c>
      <c r="H5" s="23">
        <f>+E5*G5</f>
        <v/>
      </c>
    </row>
    <row r="6">
      <c r="A6" s="8" t="n">
        <v>46235</v>
      </c>
      <c r="B6" s="7" t="n">
        <v>1</v>
      </c>
      <c r="C6" s="8" t="inlineStr">
        <is>
          <t>ABC</t>
        </is>
      </c>
      <c r="D6" s="21" t="inlineStr">
        <is>
          <t>Oil</t>
        </is>
      </c>
      <c r="E6" s="22" t="n">
        <v>500</v>
      </c>
      <c r="F6" s="22">
        <f>IFERROR(+VLOOKUP(D6,Master!B:C,2,0),"")</f>
        <v/>
      </c>
      <c r="G6" s="23" t="n">
        <v>120</v>
      </c>
      <c r="H6" s="23">
        <f>+E6*G6</f>
        <v/>
      </c>
    </row>
    <row r="7">
      <c r="A7" s="8" t="n">
        <v>46235</v>
      </c>
      <c r="B7" s="7" t="n">
        <v>1</v>
      </c>
      <c r="C7" s="8" t="inlineStr">
        <is>
          <t>ABC</t>
        </is>
      </c>
      <c r="D7" s="21" t="inlineStr">
        <is>
          <t>Dal (Toor)</t>
        </is>
      </c>
      <c r="E7" s="22" t="n">
        <v>500</v>
      </c>
      <c r="F7" s="22">
        <f>IFERROR(+VLOOKUP(D7,Master!B:C,2,0),"")</f>
        <v/>
      </c>
      <c r="G7" s="23" t="n">
        <v>110</v>
      </c>
      <c r="H7" s="23">
        <f>+E7*G7</f>
        <v/>
      </c>
    </row>
    <row r="8">
      <c r="A8" s="8" t="n">
        <v>46235</v>
      </c>
      <c r="B8" s="7" t="n">
        <v>1</v>
      </c>
      <c r="C8" s="8" t="inlineStr">
        <is>
          <t>ABC</t>
        </is>
      </c>
      <c r="D8" s="21" t="inlineStr">
        <is>
          <t>Salt</t>
        </is>
      </c>
      <c r="E8" s="22" t="n">
        <v>500</v>
      </c>
      <c r="F8" s="22">
        <f>IFERROR(+VLOOKUP(D8,Master!B:C,2,0),"")</f>
        <v/>
      </c>
      <c r="G8" s="23" t="n">
        <v>20</v>
      </c>
      <c r="H8" s="23">
        <f>+E8*G8</f>
        <v/>
      </c>
    </row>
    <row r="9">
      <c r="A9" s="8" t="n">
        <v>46235</v>
      </c>
      <c r="B9" s="7" t="n">
        <v>1</v>
      </c>
      <c r="C9" s="8" t="inlineStr">
        <is>
          <t>ABC</t>
        </is>
      </c>
      <c r="D9" s="21" t="inlineStr">
        <is>
          <t>Mirch-P</t>
        </is>
      </c>
      <c r="E9" s="22" t="n">
        <v>500</v>
      </c>
      <c r="F9" s="22">
        <f>IFERROR(+VLOOKUP(D9,Master!B:C,2,0),"")</f>
        <v/>
      </c>
      <c r="G9" s="23" t="n">
        <v>150</v>
      </c>
      <c r="H9" s="23">
        <f>+E9*G9</f>
        <v/>
      </c>
    </row>
    <row r="10">
      <c r="A10" s="8" t="n">
        <v>46235</v>
      </c>
      <c r="B10" s="7" t="n">
        <v>1</v>
      </c>
      <c r="C10" s="8" t="inlineStr">
        <is>
          <t>ABC</t>
        </is>
      </c>
      <c r="D10" s="21" t="inlineStr">
        <is>
          <t>Haldi-P</t>
        </is>
      </c>
      <c r="E10" s="22" t="n">
        <v>500</v>
      </c>
      <c r="F10" s="22">
        <f>IFERROR(+VLOOKUP(D10,Master!B:C,2,0),"")</f>
        <v/>
      </c>
      <c r="G10" s="23" t="n">
        <v>201</v>
      </c>
      <c r="H10" s="23">
        <f>+E10*G10</f>
        <v/>
      </c>
    </row>
    <row r="11">
      <c r="A11" s="8" t="n">
        <v>46235</v>
      </c>
      <c r="B11" s="7" t="n">
        <v>1</v>
      </c>
      <c r="C11" s="8" t="inlineStr">
        <is>
          <t>ABC</t>
        </is>
      </c>
      <c r="D11" s="21" t="inlineStr">
        <is>
          <t>Jeera</t>
        </is>
      </c>
      <c r="E11" s="22" t="n">
        <v>500</v>
      </c>
      <c r="F11" s="22">
        <f>IFERROR(+VLOOKUP(D11,Master!B:C,2,0),"")</f>
        <v/>
      </c>
      <c r="G11" s="23" t="n">
        <v>300</v>
      </c>
      <c r="H11" s="23">
        <f>+E11*G11</f>
        <v/>
      </c>
    </row>
    <row r="12">
      <c r="A12" s="8" t="n">
        <v>46235</v>
      </c>
      <c r="B12" s="7" t="n">
        <v>1</v>
      </c>
      <c r="C12" s="8" t="inlineStr">
        <is>
          <t>ABC</t>
        </is>
      </c>
      <c r="D12" s="21" t="inlineStr">
        <is>
          <t>Sukha Mirch</t>
        </is>
      </c>
      <c r="E12" s="22" t="n">
        <v>500</v>
      </c>
      <c r="F12" s="22">
        <f>IFERROR(+VLOOKUP(D12,Master!B:C,2,0),"")</f>
        <v/>
      </c>
      <c r="G12" s="23" t="n">
        <v>200</v>
      </c>
      <c r="H12" s="23">
        <f>+E12*G12</f>
        <v/>
      </c>
    </row>
    <row r="13">
      <c r="A13" s="8" t="n">
        <v>46235</v>
      </c>
      <c r="B13" s="7" t="n">
        <v>1</v>
      </c>
      <c r="C13" s="8" t="inlineStr">
        <is>
          <t>ABC</t>
        </is>
      </c>
      <c r="D13" s="21" t="inlineStr">
        <is>
          <t>Tej Patta</t>
        </is>
      </c>
      <c r="E13" s="22" t="n">
        <v>500</v>
      </c>
      <c r="F13" s="22">
        <f>IFERROR(+VLOOKUP(D13,Master!B:C,2,0),"")</f>
        <v/>
      </c>
      <c r="G13" s="23" t="n">
        <v>50</v>
      </c>
      <c r="H13" s="23">
        <f>+E13*G13</f>
        <v/>
      </c>
    </row>
    <row r="14">
      <c r="A14" s="8" t="n">
        <v>46235</v>
      </c>
      <c r="B14" s="7" t="n">
        <v>1</v>
      </c>
      <c r="C14" s="8" t="inlineStr">
        <is>
          <t>ABC</t>
        </is>
      </c>
      <c r="D14" s="21" t="inlineStr">
        <is>
          <t>Akha Masala</t>
        </is>
      </c>
      <c r="E14" s="22" t="n">
        <v>500</v>
      </c>
      <c r="F14" s="22">
        <f>IFERROR(+VLOOKUP(D14,Master!B:C,2,0),"")</f>
        <v/>
      </c>
      <c r="G14" s="23" t="n">
        <v>260</v>
      </c>
      <c r="H14" s="23">
        <f>+E14*G14</f>
        <v/>
      </c>
    </row>
    <row r="15">
      <c r="A15" s="8" t="n">
        <v>46235</v>
      </c>
      <c r="B15" s="7" t="n">
        <v>1</v>
      </c>
      <c r="C15" s="8" t="inlineStr">
        <is>
          <t>ABC</t>
        </is>
      </c>
      <c r="D15" s="21" t="inlineStr">
        <is>
          <t>Rai</t>
        </is>
      </c>
      <c r="E15" s="22" t="n">
        <v>500</v>
      </c>
      <c r="F15" s="22">
        <f>IFERROR(+VLOOKUP(D15,Master!B:C,2,0),"")</f>
        <v/>
      </c>
      <c r="G15" s="23" t="n">
        <v>14</v>
      </c>
      <c r="H15" s="23">
        <f>+E15*G15</f>
        <v/>
      </c>
    </row>
    <row r="16">
      <c r="A16" s="8" t="n">
        <v>46235</v>
      </c>
      <c r="B16" s="7" t="n">
        <v>1</v>
      </c>
      <c r="C16" s="8" t="inlineStr">
        <is>
          <t>ABC</t>
        </is>
      </c>
      <c r="D16" s="21" t="inlineStr">
        <is>
          <t>Dhania P</t>
        </is>
      </c>
      <c r="E16" s="22" t="n">
        <v>500</v>
      </c>
      <c r="F16" s="22">
        <f>IFERROR(+VLOOKUP(D16,Master!B:C,2,0),"")</f>
        <v/>
      </c>
      <c r="G16" s="23" t="n">
        <v>50</v>
      </c>
      <c r="H16" s="23">
        <f>+E16*G16</f>
        <v/>
      </c>
    </row>
    <row r="17">
      <c r="A17" s="8" t="n">
        <v>46235</v>
      </c>
      <c r="B17" s="7" t="n">
        <v>1</v>
      </c>
      <c r="C17" s="8" t="inlineStr">
        <is>
          <t>ABC</t>
        </is>
      </c>
      <c r="D17" s="21" t="inlineStr">
        <is>
          <t>Garam Masala</t>
        </is>
      </c>
      <c r="E17" s="22" t="n">
        <v>500</v>
      </c>
      <c r="F17" s="22">
        <f>IFERROR(+VLOOKUP(D17,Master!B:C,2,0),"")</f>
        <v/>
      </c>
      <c r="G17" s="23" t="n">
        <v>50</v>
      </c>
      <c r="H17" s="23">
        <f>+E17*G17</f>
        <v/>
      </c>
    </row>
    <row r="18">
      <c r="A18" s="8" t="n">
        <v>46235</v>
      </c>
      <c r="B18" s="7" t="n">
        <v>1</v>
      </c>
      <c r="C18" s="8" t="inlineStr">
        <is>
          <t>ABC</t>
        </is>
      </c>
      <c r="D18" s="21" t="inlineStr">
        <is>
          <t>Garam Masala</t>
        </is>
      </c>
      <c r="E18" s="22" t="n">
        <v>500</v>
      </c>
      <c r="F18" s="22">
        <f>IFERROR(+VLOOKUP(D18,Master!B:C,2,0),"")</f>
        <v/>
      </c>
      <c r="G18" s="23" t="n">
        <v>50</v>
      </c>
      <c r="H18" s="23">
        <f>+E18*G18</f>
        <v/>
      </c>
    </row>
    <row r="19">
      <c r="A19" s="8" t="n">
        <v>46235</v>
      </c>
      <c r="B19" s="7" t="n">
        <v>1</v>
      </c>
      <c r="C19" s="8" t="inlineStr">
        <is>
          <t>ABC</t>
        </is>
      </c>
      <c r="D19" s="21" t="inlineStr">
        <is>
          <t>EGG</t>
        </is>
      </c>
      <c r="E19" s="22" t="n">
        <v>500</v>
      </c>
      <c r="F19" s="22">
        <f>IFERROR(+VLOOKUP(D19,Master!B:C,2,0),"")</f>
        <v/>
      </c>
      <c r="G19" s="23" t="n">
        <v>50</v>
      </c>
      <c r="H19" s="23">
        <f>+E19*G19</f>
        <v/>
      </c>
    </row>
    <row r="20">
      <c r="A20" s="8" t="n">
        <v>46235</v>
      </c>
      <c r="B20" s="7" t="n">
        <v>1</v>
      </c>
      <c r="C20" s="8" t="inlineStr">
        <is>
          <t>ABC</t>
        </is>
      </c>
      <c r="D20" s="21" t="inlineStr">
        <is>
          <t>FISH</t>
        </is>
      </c>
      <c r="E20" s="22" t="n">
        <v>500</v>
      </c>
      <c r="F20" s="22">
        <f>IFERROR(+VLOOKUP(D20,Master!B:C,2,0),"")</f>
        <v/>
      </c>
      <c r="G20" s="23" t="n">
        <v>50</v>
      </c>
      <c r="H20" s="23">
        <f>+E20*G20</f>
        <v/>
      </c>
    </row>
    <row r="21">
      <c r="A21" s="8" t="n">
        <v>46235</v>
      </c>
      <c r="B21" s="7" t="n">
        <v>1</v>
      </c>
      <c r="C21" s="8" t="inlineStr">
        <is>
          <t>ABC</t>
        </is>
      </c>
      <c r="D21" s="21" t="inlineStr">
        <is>
          <t>CHICKEN</t>
        </is>
      </c>
      <c r="E21" s="22" t="n">
        <v>500</v>
      </c>
      <c r="F21" s="22">
        <f>IFERROR(+VLOOKUP(D21,Master!B:C,2,0),"")</f>
        <v/>
      </c>
      <c r="G21" s="23" t="n">
        <v>50</v>
      </c>
      <c r="H21" s="23">
        <f>+E21*G21</f>
        <v/>
      </c>
    </row>
    <row r="22">
      <c r="A22" s="8" t="n">
        <v>46235</v>
      </c>
      <c r="B22" s="7" t="n">
        <v>1</v>
      </c>
      <c r="C22" s="8" t="inlineStr">
        <is>
          <t>ABC</t>
        </is>
      </c>
      <c r="D22" s="21" t="inlineStr">
        <is>
          <t>Aloo</t>
        </is>
      </c>
      <c r="E22" s="22" t="n">
        <v>500</v>
      </c>
      <c r="F22" s="22">
        <f>IFERROR(+VLOOKUP(D22,Master!B:C,2,0),"")</f>
        <v/>
      </c>
      <c r="G22" s="23" t="n">
        <v>50</v>
      </c>
      <c r="H22" s="23">
        <f>+E22*G22</f>
        <v/>
      </c>
    </row>
    <row r="23">
      <c r="A23" s="8" t="n">
        <v>46235</v>
      </c>
      <c r="B23" s="7" t="n">
        <v>1</v>
      </c>
      <c r="C23" s="8" t="inlineStr">
        <is>
          <t>ABC</t>
        </is>
      </c>
      <c r="D23" s="21" t="inlineStr">
        <is>
          <t>Galka</t>
        </is>
      </c>
      <c r="E23" s="22" t="n">
        <v>500</v>
      </c>
      <c r="F23" s="22">
        <f>IFERROR(+VLOOKUP(D23,Master!B:C,2,0),"")</f>
        <v/>
      </c>
      <c r="G23" s="23" t="n">
        <v>50</v>
      </c>
      <c r="H23" s="23">
        <f>+E23*G23</f>
        <v/>
      </c>
    </row>
    <row r="24">
      <c r="A24" s="8" t="n">
        <v>46235</v>
      </c>
      <c r="B24" s="7" t="n">
        <v>1</v>
      </c>
      <c r="C24" s="8" t="inlineStr">
        <is>
          <t>ABC</t>
        </is>
      </c>
      <c r="D24" s="21" t="inlineStr">
        <is>
          <t>Tomato</t>
        </is>
      </c>
      <c r="E24" s="22" t="n">
        <v>500</v>
      </c>
      <c r="F24" s="22">
        <f>IFERROR(+VLOOKUP(D24,Master!B:C,2,0),"")</f>
        <v/>
      </c>
      <c r="G24" s="23" t="n">
        <v>50</v>
      </c>
      <c r="H24" s="23">
        <f>+E24*G24</f>
        <v/>
      </c>
    </row>
    <row r="25">
      <c r="A25" s="8" t="n">
        <v>46235</v>
      </c>
      <c r="B25" s="7" t="n">
        <v>1</v>
      </c>
      <c r="C25" s="8" t="inlineStr">
        <is>
          <t>ABC</t>
        </is>
      </c>
      <c r="D25" s="21" t="inlineStr">
        <is>
          <t>Onion</t>
        </is>
      </c>
      <c r="E25" s="22" t="n">
        <v>500</v>
      </c>
      <c r="F25" s="22">
        <f>IFERROR(+VLOOKUP(D25,Master!B:C,2,0),"")</f>
        <v/>
      </c>
      <c r="G25" s="23" t="n">
        <v>50</v>
      </c>
      <c r="H25" s="23">
        <f>+E25*G25</f>
        <v/>
      </c>
    </row>
    <row r="26">
      <c r="A26" s="8" t="n">
        <v>46235</v>
      </c>
      <c r="B26" s="7" t="n">
        <v>1</v>
      </c>
      <c r="C26" s="8" t="inlineStr">
        <is>
          <t>ABC</t>
        </is>
      </c>
      <c r="D26" s="21" t="inlineStr">
        <is>
          <t>Adrak</t>
        </is>
      </c>
      <c r="E26" s="22" t="n">
        <v>500</v>
      </c>
      <c r="F26" s="22">
        <f>IFERROR(+VLOOKUP(D26,Master!B:C,2,0),"")</f>
        <v/>
      </c>
      <c r="G26" s="23" t="n">
        <v>50</v>
      </c>
      <c r="H26" s="23">
        <f>+E26*G26</f>
        <v/>
      </c>
    </row>
    <row r="27">
      <c r="A27" s="8" t="n">
        <v>46235</v>
      </c>
      <c r="B27" s="7" t="n">
        <v>1</v>
      </c>
      <c r="C27" s="8" t="inlineStr">
        <is>
          <t>ABC</t>
        </is>
      </c>
      <c r="D27" s="21" t="inlineStr">
        <is>
          <t>Lehsun</t>
        </is>
      </c>
      <c r="E27" s="22" t="n">
        <v>500</v>
      </c>
      <c r="F27" s="22">
        <f>IFERROR(+VLOOKUP(D27,Master!B:C,2,0),"")</f>
        <v/>
      </c>
      <c r="G27" s="23" t="n">
        <v>50</v>
      </c>
      <c r="H27" s="23">
        <f>+E27*G27</f>
        <v/>
      </c>
    </row>
    <row r="28">
      <c r="A28" s="8" t="n">
        <v>46235</v>
      </c>
      <c r="B28" s="7" t="n">
        <v>1</v>
      </c>
      <c r="C28" s="8" t="inlineStr">
        <is>
          <t>ABC</t>
        </is>
      </c>
      <c r="D28" s="21" t="inlineStr">
        <is>
          <t>Hari Mirch</t>
        </is>
      </c>
      <c r="E28" s="22" t="n">
        <v>500</v>
      </c>
      <c r="F28" s="22">
        <f>IFERROR(+VLOOKUP(D28,Master!B:C,2,0),"")</f>
        <v/>
      </c>
      <c r="G28" s="23" t="n">
        <v>50</v>
      </c>
      <c r="H28" s="23">
        <f>+E28*G28</f>
        <v/>
      </c>
    </row>
    <row r="29">
      <c r="A29" s="8" t="n">
        <v>46235</v>
      </c>
      <c r="B29" s="7" t="n">
        <v>1</v>
      </c>
      <c r="C29" s="8" t="inlineStr">
        <is>
          <t>ABC</t>
        </is>
      </c>
      <c r="D29" s="21" t="inlineStr">
        <is>
          <t>MIX VEG</t>
        </is>
      </c>
      <c r="E29" s="22" t="n">
        <v>500</v>
      </c>
      <c r="F29" s="22">
        <f>IFERROR(+VLOOKUP(D29,Master!B:C,2,0),"")</f>
        <v/>
      </c>
      <c r="G29" s="23" t="n">
        <v>200</v>
      </c>
      <c r="H29" s="23">
        <f>+E29*G29</f>
        <v/>
      </c>
    </row>
    <row r="30">
      <c r="A30" s="8" t="n">
        <v>46236</v>
      </c>
      <c r="B30" s="7" t="n">
        <v>2</v>
      </c>
      <c r="C30" s="8" t="inlineStr">
        <is>
          <t>ABC</t>
        </is>
      </c>
      <c r="D30" s="21" t="inlineStr">
        <is>
          <t>Rice</t>
        </is>
      </c>
      <c r="E30" s="22" t="n"/>
      <c r="F30" s="22">
        <f>IFERROR(+VLOOKUP(D30,Master!B:C,2,0),"")</f>
        <v/>
      </c>
      <c r="G30" s="23" t="n"/>
      <c r="H30" s="23">
        <f>+E30*G30</f>
        <v/>
      </c>
    </row>
    <row r="31">
      <c r="A31" s="8" t="n">
        <v>46236</v>
      </c>
      <c r="B31" s="7" t="n">
        <v>2</v>
      </c>
      <c r="C31" s="8" t="inlineStr">
        <is>
          <t>ABC</t>
        </is>
      </c>
      <c r="D31" s="21" t="inlineStr">
        <is>
          <t>Atta</t>
        </is>
      </c>
      <c r="E31" s="22" t="n"/>
      <c r="F31" s="22">
        <f>IFERROR(+VLOOKUP(D31,Master!B:C,2,0),"")</f>
        <v/>
      </c>
      <c r="G31" s="23" t="n"/>
      <c r="H31" s="23">
        <f>+E31*G31</f>
        <v/>
      </c>
    </row>
    <row r="32">
      <c r="A32" s="8" t="n">
        <v>46236</v>
      </c>
      <c r="B32" s="7" t="n">
        <v>2</v>
      </c>
      <c r="C32" s="8" t="inlineStr">
        <is>
          <t>ABC</t>
        </is>
      </c>
      <c r="D32" s="21" t="inlineStr">
        <is>
          <t>Oil</t>
        </is>
      </c>
      <c r="E32" s="22" t="n"/>
      <c r="F32" s="22">
        <f>IFERROR(+VLOOKUP(D32,Master!B:C,2,0),"")</f>
        <v/>
      </c>
      <c r="G32" s="23" t="n"/>
      <c r="H32" s="23">
        <f>+E32*G32</f>
        <v/>
      </c>
    </row>
    <row r="33">
      <c r="A33" s="8" t="n">
        <v>46236</v>
      </c>
      <c r="B33" s="7" t="n">
        <v>2</v>
      </c>
      <c r="C33" s="8" t="inlineStr">
        <is>
          <t>ABC</t>
        </is>
      </c>
      <c r="D33" s="21" t="inlineStr">
        <is>
          <t>Dal (Toor)</t>
        </is>
      </c>
      <c r="E33" s="22" t="n"/>
      <c r="F33" s="22">
        <f>IFERROR(+VLOOKUP(D33,Master!B:C,2,0),"")</f>
        <v/>
      </c>
      <c r="G33" s="23" t="n"/>
      <c r="H33" s="23">
        <f>+E33*G33</f>
        <v/>
      </c>
    </row>
    <row r="34">
      <c r="A34" s="8" t="n">
        <v>46236</v>
      </c>
      <c r="B34" s="7" t="n">
        <v>2</v>
      </c>
      <c r="C34" s="8" t="inlineStr">
        <is>
          <t>ABC</t>
        </is>
      </c>
      <c r="D34" s="21" t="inlineStr">
        <is>
          <t>Salt</t>
        </is>
      </c>
      <c r="E34" s="22" t="n"/>
      <c r="F34" s="22">
        <f>IFERROR(+VLOOKUP(D34,Master!B:C,2,0),"")</f>
        <v/>
      </c>
      <c r="G34" s="23" t="n"/>
      <c r="H34" s="23">
        <f>+E34*G34</f>
        <v/>
      </c>
    </row>
    <row r="35">
      <c r="A35" s="8" t="n">
        <v>46236</v>
      </c>
      <c r="B35" s="7" t="n">
        <v>2</v>
      </c>
      <c r="C35" s="8" t="inlineStr">
        <is>
          <t>ABC</t>
        </is>
      </c>
      <c r="D35" s="21" t="inlineStr">
        <is>
          <t>Mirch-P</t>
        </is>
      </c>
      <c r="E35" s="22" t="n"/>
      <c r="F35" s="22">
        <f>IFERROR(+VLOOKUP(D35,Master!B:C,2,0),"")</f>
        <v/>
      </c>
      <c r="G35" s="23" t="n"/>
      <c r="H35" s="23">
        <f>+E35*G35</f>
        <v/>
      </c>
    </row>
    <row r="36">
      <c r="A36" s="8" t="n">
        <v>46236</v>
      </c>
      <c r="B36" s="7" t="n">
        <v>2</v>
      </c>
      <c r="C36" s="8" t="inlineStr">
        <is>
          <t>ABC</t>
        </is>
      </c>
      <c r="D36" s="21" t="inlineStr">
        <is>
          <t>Haldi-P</t>
        </is>
      </c>
      <c r="E36" s="22" t="n"/>
      <c r="F36" s="22">
        <f>IFERROR(+VLOOKUP(D36,Master!B:C,2,0),"")</f>
        <v/>
      </c>
      <c r="G36" s="23" t="n"/>
      <c r="H36" s="23">
        <f>+E36*G36</f>
        <v/>
      </c>
    </row>
    <row r="37">
      <c r="A37" s="8" t="n">
        <v>46236</v>
      </c>
      <c r="B37" s="7" t="n">
        <v>2</v>
      </c>
      <c r="C37" s="8" t="inlineStr">
        <is>
          <t>ABC</t>
        </is>
      </c>
      <c r="D37" s="21" t="inlineStr">
        <is>
          <t>Jeera</t>
        </is>
      </c>
      <c r="E37" s="22" t="n"/>
      <c r="F37" s="22">
        <f>IFERROR(+VLOOKUP(D37,Master!B:C,2,0),"")</f>
        <v/>
      </c>
      <c r="G37" s="23" t="n"/>
      <c r="H37" s="23">
        <f>+E37*G37</f>
        <v/>
      </c>
    </row>
    <row r="38">
      <c r="A38" s="8" t="n">
        <v>46236</v>
      </c>
      <c r="B38" s="7" t="n">
        <v>2</v>
      </c>
      <c r="C38" s="8" t="inlineStr">
        <is>
          <t>ABC</t>
        </is>
      </c>
      <c r="D38" s="21" t="inlineStr">
        <is>
          <t>Sukha Mirch</t>
        </is>
      </c>
      <c r="E38" s="22" t="n"/>
      <c r="F38" s="22">
        <f>IFERROR(+VLOOKUP(D38,Master!B:C,2,0),"")</f>
        <v/>
      </c>
      <c r="G38" s="23" t="n"/>
      <c r="H38" s="23">
        <f>+E38*G38</f>
        <v/>
      </c>
    </row>
    <row r="39">
      <c r="A39" s="8" t="n">
        <v>46236</v>
      </c>
      <c r="B39" s="7" t="n">
        <v>2</v>
      </c>
      <c r="C39" s="8" t="inlineStr">
        <is>
          <t>ABC</t>
        </is>
      </c>
      <c r="D39" s="21" t="inlineStr">
        <is>
          <t>Tej Patta</t>
        </is>
      </c>
      <c r="E39" s="22" t="n"/>
      <c r="F39" s="22">
        <f>IFERROR(+VLOOKUP(D39,Master!B:C,2,0),"")</f>
        <v/>
      </c>
      <c r="G39" s="23" t="n"/>
      <c r="H39" s="23">
        <f>+E39*G39</f>
        <v/>
      </c>
    </row>
    <row r="40">
      <c r="A40" s="8" t="n">
        <v>46236</v>
      </c>
      <c r="B40" s="7" t="n">
        <v>2</v>
      </c>
      <c r="C40" s="8" t="inlineStr">
        <is>
          <t>ABC</t>
        </is>
      </c>
      <c r="D40" s="21" t="inlineStr">
        <is>
          <t>Akha Masala</t>
        </is>
      </c>
      <c r="E40" s="22" t="n"/>
      <c r="F40" s="22">
        <f>IFERROR(+VLOOKUP(D40,Master!B:C,2,0),"")</f>
        <v/>
      </c>
      <c r="G40" s="23" t="n"/>
      <c r="H40" s="23">
        <f>+E40*G40</f>
        <v/>
      </c>
    </row>
    <row r="41">
      <c r="A41" s="8" t="n">
        <v>46236</v>
      </c>
      <c r="B41" s="7" t="n">
        <v>2</v>
      </c>
      <c r="C41" s="8" t="inlineStr">
        <is>
          <t>ABC</t>
        </is>
      </c>
      <c r="D41" s="21" t="inlineStr">
        <is>
          <t>Rai</t>
        </is>
      </c>
      <c r="E41" s="22" t="n"/>
      <c r="F41" s="22">
        <f>IFERROR(+VLOOKUP(D41,Master!B:C,2,0),"")</f>
        <v/>
      </c>
      <c r="G41" s="23" t="n"/>
      <c r="H41" s="23">
        <f>+E41*G41</f>
        <v/>
      </c>
    </row>
    <row r="42">
      <c r="A42" s="8" t="n">
        <v>46236</v>
      </c>
      <c r="B42" s="7" t="n">
        <v>2</v>
      </c>
      <c r="C42" s="8" t="inlineStr">
        <is>
          <t>ABC</t>
        </is>
      </c>
      <c r="D42" s="21" t="inlineStr">
        <is>
          <t>Dhania P</t>
        </is>
      </c>
      <c r="E42" s="22" t="n"/>
      <c r="F42" s="22">
        <f>IFERROR(+VLOOKUP(D42,Master!B:C,2,0),"")</f>
        <v/>
      </c>
      <c r="G42" s="23" t="n"/>
      <c r="H42" s="23">
        <f>+E42*G42</f>
        <v/>
      </c>
    </row>
    <row r="43">
      <c r="A43" s="8" t="n">
        <v>46236</v>
      </c>
      <c r="B43" s="7" t="n">
        <v>2</v>
      </c>
      <c r="C43" s="8" t="inlineStr">
        <is>
          <t>ABC</t>
        </is>
      </c>
      <c r="D43" s="21" t="inlineStr">
        <is>
          <t>Garam Masala</t>
        </is>
      </c>
      <c r="E43" s="22" t="n"/>
      <c r="F43" s="22">
        <f>IFERROR(+VLOOKUP(D43,Master!B:C,2,0),"")</f>
        <v/>
      </c>
      <c r="G43" s="23" t="n"/>
      <c r="H43" s="23">
        <f>+E43*G43</f>
        <v/>
      </c>
    </row>
    <row r="44">
      <c r="A44" s="8" t="n">
        <v>46236</v>
      </c>
      <c r="B44" s="7" t="n">
        <v>2</v>
      </c>
      <c r="C44" s="8" t="inlineStr">
        <is>
          <t>ABC</t>
        </is>
      </c>
      <c r="D44" s="21" t="inlineStr">
        <is>
          <t>Garam Masala</t>
        </is>
      </c>
      <c r="E44" s="22" t="n"/>
      <c r="F44" s="22">
        <f>IFERROR(+VLOOKUP(D44,Master!B:C,2,0),"")</f>
        <v/>
      </c>
      <c r="G44" s="23" t="n"/>
      <c r="H44" s="23">
        <f>+E44*G44</f>
        <v/>
      </c>
    </row>
    <row r="45">
      <c r="A45" s="8" t="n">
        <v>46236</v>
      </c>
      <c r="B45" s="7" t="n">
        <v>2</v>
      </c>
      <c r="C45" s="8" t="inlineStr">
        <is>
          <t>ABC</t>
        </is>
      </c>
      <c r="D45" s="21" t="inlineStr">
        <is>
          <t>EGG</t>
        </is>
      </c>
      <c r="E45" s="22" t="n"/>
      <c r="F45" s="22">
        <f>IFERROR(+VLOOKUP(D45,Master!B:C,2,0),"")</f>
        <v/>
      </c>
      <c r="G45" s="23" t="n"/>
      <c r="H45" s="23">
        <f>+E45*G45</f>
        <v/>
      </c>
    </row>
    <row r="46">
      <c r="A46" s="8" t="n">
        <v>46236</v>
      </c>
      <c r="B46" s="7" t="n">
        <v>2</v>
      </c>
      <c r="C46" s="8" t="inlineStr">
        <is>
          <t>ABC</t>
        </is>
      </c>
      <c r="D46" s="21" t="inlineStr">
        <is>
          <t>FISH</t>
        </is>
      </c>
      <c r="E46" s="22" t="n"/>
      <c r="F46" s="22">
        <f>IFERROR(+VLOOKUP(D46,Master!B:C,2,0),"")</f>
        <v/>
      </c>
      <c r="G46" s="23" t="n"/>
      <c r="H46" s="23">
        <f>+E46*G46</f>
        <v/>
      </c>
    </row>
    <row r="47">
      <c r="A47" s="8" t="n">
        <v>46236</v>
      </c>
      <c r="B47" s="7" t="n">
        <v>2</v>
      </c>
      <c r="C47" s="8" t="inlineStr">
        <is>
          <t>ABC</t>
        </is>
      </c>
      <c r="D47" s="21" t="inlineStr">
        <is>
          <t>CHICKEN</t>
        </is>
      </c>
      <c r="E47" s="22" t="n"/>
      <c r="F47" s="22">
        <f>IFERROR(+VLOOKUP(D47,Master!B:C,2,0),"")</f>
        <v/>
      </c>
      <c r="G47" s="23" t="n"/>
      <c r="H47" s="23">
        <f>+E47*G47</f>
        <v/>
      </c>
    </row>
    <row r="48">
      <c r="A48" s="8" t="n">
        <v>46236</v>
      </c>
      <c r="B48" s="7" t="n">
        <v>2</v>
      </c>
      <c r="C48" s="8" t="inlineStr">
        <is>
          <t>ABC</t>
        </is>
      </c>
      <c r="D48" s="21" t="inlineStr">
        <is>
          <t>Aloo</t>
        </is>
      </c>
      <c r="E48" s="22" t="n"/>
      <c r="F48" s="22">
        <f>IFERROR(+VLOOKUP(D48,Master!B:C,2,0),"")</f>
        <v/>
      </c>
      <c r="G48" s="23" t="n"/>
      <c r="H48" s="23">
        <f>+E48*G48</f>
        <v/>
      </c>
    </row>
    <row r="49">
      <c r="A49" s="8" t="n">
        <v>46236</v>
      </c>
      <c r="B49" s="7" t="n">
        <v>2</v>
      </c>
      <c r="C49" s="8" t="inlineStr">
        <is>
          <t>ABC</t>
        </is>
      </c>
      <c r="D49" s="21" t="inlineStr">
        <is>
          <t>Galka</t>
        </is>
      </c>
      <c r="E49" s="22" t="n"/>
      <c r="F49" s="22">
        <f>IFERROR(+VLOOKUP(D49,Master!B:C,2,0),"")</f>
        <v/>
      </c>
      <c r="G49" s="23" t="n"/>
      <c r="H49" s="23">
        <f>+E49*G49</f>
        <v/>
      </c>
    </row>
    <row r="50">
      <c r="A50" s="8" t="n">
        <v>46236</v>
      </c>
      <c r="B50" s="7" t="n">
        <v>2</v>
      </c>
      <c r="C50" s="8" t="inlineStr">
        <is>
          <t>ABC</t>
        </is>
      </c>
      <c r="D50" s="21" t="inlineStr">
        <is>
          <t>Tomato</t>
        </is>
      </c>
      <c r="E50" s="22" t="n"/>
      <c r="F50" s="22">
        <f>IFERROR(+VLOOKUP(D50,Master!B:C,2,0),"")</f>
        <v/>
      </c>
      <c r="G50" s="23" t="n"/>
      <c r="H50" s="23">
        <f>+E50*G50</f>
        <v/>
      </c>
    </row>
    <row r="51">
      <c r="A51" s="8" t="n">
        <v>46236</v>
      </c>
      <c r="B51" s="7" t="n">
        <v>2</v>
      </c>
      <c r="C51" s="8" t="inlineStr">
        <is>
          <t>ABC</t>
        </is>
      </c>
      <c r="D51" s="21" t="inlineStr">
        <is>
          <t>Onion</t>
        </is>
      </c>
      <c r="E51" s="22" t="n"/>
      <c r="F51" s="22">
        <f>IFERROR(+VLOOKUP(D51,Master!B:C,2,0),"")</f>
        <v/>
      </c>
      <c r="G51" s="23" t="n"/>
      <c r="H51" s="23">
        <f>+E51*G51</f>
        <v/>
      </c>
    </row>
    <row r="52">
      <c r="A52" s="8" t="n">
        <v>46236</v>
      </c>
      <c r="B52" s="7" t="n">
        <v>2</v>
      </c>
      <c r="C52" s="8" t="inlineStr">
        <is>
          <t>ABC</t>
        </is>
      </c>
      <c r="D52" s="21" t="inlineStr">
        <is>
          <t>Adrak</t>
        </is>
      </c>
      <c r="E52" s="22" t="n"/>
      <c r="F52" s="22">
        <f>IFERROR(+VLOOKUP(D52,Master!B:C,2,0),"")</f>
        <v/>
      </c>
      <c r="G52" s="23" t="n"/>
      <c r="H52" s="23">
        <f>+E52*G52</f>
        <v/>
      </c>
    </row>
    <row r="53">
      <c r="A53" s="8" t="n">
        <v>46236</v>
      </c>
      <c r="B53" s="7" t="n">
        <v>2</v>
      </c>
      <c r="C53" s="8" t="inlineStr">
        <is>
          <t>ABC</t>
        </is>
      </c>
      <c r="D53" s="21" t="inlineStr">
        <is>
          <t>Lehsun</t>
        </is>
      </c>
      <c r="E53" s="22" t="n"/>
      <c r="F53" s="22">
        <f>IFERROR(+VLOOKUP(D53,Master!B:C,2,0),"")</f>
        <v/>
      </c>
      <c r="G53" s="23" t="n"/>
      <c r="H53" s="23">
        <f>+E53*G53</f>
        <v/>
      </c>
    </row>
    <row r="54">
      <c r="A54" s="8" t="n">
        <v>46236</v>
      </c>
      <c r="B54" s="7" t="n">
        <v>2</v>
      </c>
      <c r="C54" s="8" t="inlineStr">
        <is>
          <t>ABC</t>
        </is>
      </c>
      <c r="D54" s="21" t="inlineStr">
        <is>
          <t>Hari Mirch</t>
        </is>
      </c>
      <c r="E54" s="22" t="n"/>
      <c r="F54" s="22">
        <f>IFERROR(+VLOOKUP(D54,Master!B:C,2,0),"")</f>
        <v/>
      </c>
      <c r="G54" s="23" t="n"/>
      <c r="H54" s="23">
        <f>+E54*G54</f>
        <v/>
      </c>
    </row>
    <row r="55">
      <c r="A55" s="8" t="n"/>
      <c r="B55" s="7" t="n"/>
      <c r="C55" s="8" t="n"/>
      <c r="D55" s="21" t="n"/>
      <c r="E55" s="22" t="n"/>
      <c r="F55" s="22">
        <f>IFERROR(+VLOOKUP(D55,Master!B:C,2,0),"")</f>
        <v/>
      </c>
      <c r="G55" s="23" t="n"/>
      <c r="H55" s="23">
        <f>+E55*G55</f>
        <v/>
      </c>
    </row>
    <row r="56">
      <c r="A56" s="8" t="n"/>
      <c r="B56" s="7" t="n"/>
      <c r="C56" s="8" t="n"/>
      <c r="D56" s="21" t="n"/>
      <c r="E56" s="22" t="n"/>
      <c r="F56" s="22">
        <f>IFERROR(+VLOOKUP(D56,Master!B:C,2,0),"")</f>
        <v/>
      </c>
      <c r="G56" s="23" t="n"/>
      <c r="H56" s="23">
        <f>+E56*G56</f>
        <v/>
      </c>
    </row>
    <row r="57">
      <c r="A57" s="8" t="n"/>
      <c r="B57" s="7" t="n"/>
      <c r="C57" s="8" t="n"/>
      <c r="D57" s="21" t="n"/>
      <c r="E57" s="22" t="n"/>
      <c r="F57" s="22">
        <f>IFERROR(+VLOOKUP(D57,Master!B:C,2,0),"")</f>
        <v/>
      </c>
      <c r="G57" s="23" t="n"/>
      <c r="H57" s="23">
        <f>+E57*G57</f>
        <v/>
      </c>
    </row>
    <row r="58">
      <c r="A58" s="8" t="n"/>
      <c r="B58" s="7" t="n"/>
      <c r="C58" s="8" t="n"/>
      <c r="D58" s="21" t="n"/>
      <c r="E58" s="22" t="n"/>
      <c r="F58" s="22">
        <f>IFERROR(+VLOOKUP(D58,Master!B:C,2,0),"")</f>
        <v/>
      </c>
      <c r="G58" s="23" t="n"/>
      <c r="H58" s="23">
        <f>+E58*G58</f>
        <v/>
      </c>
    </row>
    <row r="59">
      <c r="A59" s="8" t="n"/>
      <c r="B59" s="7" t="n"/>
      <c r="C59" s="8" t="n"/>
      <c r="D59" s="21" t="n"/>
      <c r="E59" s="22" t="n"/>
      <c r="F59" s="22">
        <f>IFERROR(+VLOOKUP(D59,Master!B:C,2,0),"")</f>
        <v/>
      </c>
      <c r="G59" s="23" t="n"/>
      <c r="H59" s="23">
        <f>+E59*G59</f>
        <v/>
      </c>
    </row>
    <row r="60">
      <c r="A60" s="8" t="n"/>
      <c r="B60" s="7" t="n"/>
      <c r="C60" s="8" t="n"/>
      <c r="D60" s="21" t="n"/>
      <c r="E60" s="22" t="n"/>
      <c r="F60" s="22">
        <f>IFERROR(+VLOOKUP(D60,Master!B:C,2,0),"")</f>
        <v/>
      </c>
      <c r="G60" s="23" t="n"/>
      <c r="H60" s="23">
        <f>+E60*G60</f>
        <v/>
      </c>
    </row>
    <row r="61">
      <c r="A61" s="8" t="n"/>
      <c r="B61" s="7" t="n"/>
      <c r="C61" s="8" t="n"/>
      <c r="D61" s="21" t="n"/>
      <c r="E61" s="22" t="n"/>
      <c r="F61" s="22">
        <f>IFERROR(+VLOOKUP(D61,Master!B:C,2,0),"")</f>
        <v/>
      </c>
      <c r="G61" s="23" t="n"/>
      <c r="H61" s="23">
        <f>+E61*G61</f>
        <v/>
      </c>
    </row>
    <row r="62">
      <c r="A62" s="8" t="n"/>
      <c r="B62" s="7" t="n"/>
      <c r="C62" s="8" t="n"/>
      <c r="D62" s="21" t="n"/>
      <c r="E62" s="22" t="n"/>
      <c r="F62" s="22">
        <f>IFERROR(+VLOOKUP(D62,Master!B:C,2,0),"")</f>
        <v/>
      </c>
      <c r="G62" s="23" t="n"/>
      <c r="H62" s="23">
        <f>+E62*G62</f>
        <v/>
      </c>
    </row>
    <row r="63">
      <c r="A63" s="8" t="n"/>
      <c r="B63" s="7" t="n"/>
      <c r="C63" s="8" t="n"/>
      <c r="D63" s="21" t="n"/>
      <c r="E63" s="22" t="n"/>
      <c r="F63" s="22">
        <f>IFERROR(+VLOOKUP(D63,Master!B:C,2,0),"")</f>
        <v/>
      </c>
      <c r="G63" s="23" t="n"/>
      <c r="H63" s="23">
        <f>+E63*G63</f>
        <v/>
      </c>
    </row>
    <row r="64">
      <c r="A64" s="8" t="n"/>
      <c r="B64" s="7" t="n"/>
      <c r="C64" s="8" t="n"/>
      <c r="D64" s="21" t="n"/>
      <c r="E64" s="22" t="n"/>
      <c r="F64" s="22">
        <f>IFERROR(+VLOOKUP(D64,Master!B:C,2,0),"")</f>
        <v/>
      </c>
      <c r="G64" s="23" t="n"/>
      <c r="H64" s="23">
        <f>+E64*G64</f>
        <v/>
      </c>
    </row>
    <row r="65">
      <c r="A65" s="8" t="n"/>
      <c r="B65" s="7" t="n"/>
      <c r="C65" s="8" t="n"/>
      <c r="D65" s="21" t="n"/>
      <c r="E65" s="22" t="n"/>
      <c r="F65" s="22">
        <f>IFERROR(+VLOOKUP(D65,Master!B:C,2,0),"")</f>
        <v/>
      </c>
      <c r="G65" s="23" t="n"/>
      <c r="H65" s="23">
        <f>+E65*G65</f>
        <v/>
      </c>
    </row>
    <row r="66">
      <c r="A66" s="8" t="n"/>
      <c r="B66" s="7" t="n"/>
      <c r="C66" s="8" t="n"/>
      <c r="D66" s="21" t="n"/>
      <c r="E66" s="22" t="n"/>
      <c r="F66" s="22">
        <f>IFERROR(+VLOOKUP(D66,Master!B:C,2,0),"")</f>
        <v/>
      </c>
      <c r="G66" s="23" t="n"/>
      <c r="H66" s="23">
        <f>+E66*G66</f>
        <v/>
      </c>
    </row>
    <row r="67">
      <c r="A67" s="8" t="n"/>
      <c r="B67" s="7" t="n"/>
      <c r="C67" s="8" t="n"/>
      <c r="D67" s="21" t="n"/>
      <c r="E67" s="22" t="n"/>
      <c r="F67" s="22">
        <f>IFERROR(+VLOOKUP(D67,Master!B:C,2,0),"")</f>
        <v/>
      </c>
      <c r="G67" s="23" t="n"/>
      <c r="H67" s="23">
        <f>+E67*G67</f>
        <v/>
      </c>
    </row>
    <row r="68">
      <c r="A68" s="8" t="n"/>
      <c r="B68" s="7" t="n"/>
      <c r="C68" s="8" t="n"/>
      <c r="D68" s="21" t="n"/>
      <c r="E68" s="22" t="n"/>
      <c r="F68" s="22">
        <f>IFERROR(+VLOOKUP(D68,Master!B:C,2,0),"")</f>
        <v/>
      </c>
      <c r="G68" s="23" t="n"/>
      <c r="H68" s="23">
        <f>+E68*G68</f>
        <v/>
      </c>
    </row>
    <row r="69">
      <c r="A69" s="8" t="n"/>
      <c r="B69" s="7" t="n"/>
      <c r="C69" s="8" t="n"/>
      <c r="D69" s="21" t="n"/>
      <c r="E69" s="22" t="n"/>
      <c r="F69" s="22">
        <f>IFERROR(+VLOOKUP(D69,Master!B:C,2,0),"")</f>
        <v/>
      </c>
      <c r="G69" s="23" t="n"/>
      <c r="H69" s="23">
        <f>+E69*G69</f>
        <v/>
      </c>
    </row>
    <row r="70">
      <c r="A70" s="8" t="n"/>
      <c r="B70" s="7" t="n"/>
      <c r="C70" s="8" t="n"/>
      <c r="D70" s="21" t="n"/>
      <c r="E70" s="22" t="n"/>
      <c r="F70" s="22">
        <f>IFERROR(+VLOOKUP(D70,Master!B:C,2,0),"")</f>
        <v/>
      </c>
      <c r="G70" s="23" t="n"/>
      <c r="H70" s="23">
        <f>+E70*G70</f>
        <v/>
      </c>
    </row>
    <row r="71">
      <c r="A71" s="8" t="n"/>
      <c r="B71" s="7" t="n"/>
      <c r="C71" s="8" t="n"/>
      <c r="D71" s="21" t="n"/>
      <c r="E71" s="22" t="n"/>
      <c r="F71" s="22">
        <f>IFERROR(+VLOOKUP(D71,Master!B:C,2,0),"")</f>
        <v/>
      </c>
      <c r="G71" s="23" t="n"/>
      <c r="H71" s="23">
        <f>+E71*G71</f>
        <v/>
      </c>
    </row>
    <row r="72">
      <c r="A72" s="8" t="n"/>
      <c r="B72" s="7" t="n"/>
      <c r="C72" s="8" t="n"/>
      <c r="D72" s="21" t="n"/>
      <c r="E72" s="22" t="n"/>
      <c r="F72" s="22">
        <f>IFERROR(+VLOOKUP(D72,Master!B:C,2,0),"")</f>
        <v/>
      </c>
      <c r="G72" s="23" t="n"/>
      <c r="H72" s="23">
        <f>+E72*G72</f>
        <v/>
      </c>
    </row>
    <row r="73">
      <c r="A73" s="8" t="n"/>
      <c r="B73" s="7" t="n"/>
      <c r="C73" s="8" t="n"/>
      <c r="D73" s="21" t="n"/>
      <c r="E73" s="22" t="n"/>
      <c r="F73" s="22">
        <f>IFERROR(+VLOOKUP(D73,Master!B:C,2,0),"")</f>
        <v/>
      </c>
      <c r="G73" s="23" t="n"/>
      <c r="H73" s="23">
        <f>+E73*G73</f>
        <v/>
      </c>
    </row>
    <row r="74">
      <c r="A74" s="8" t="n"/>
      <c r="B74" s="7" t="n"/>
      <c r="C74" s="8" t="n"/>
      <c r="D74" s="21" t="n"/>
      <c r="E74" s="22" t="n"/>
      <c r="F74" s="22">
        <f>IFERROR(+VLOOKUP(D74,Master!B:C,2,0),"")</f>
        <v/>
      </c>
      <c r="G74" s="23" t="n"/>
      <c r="H74" s="23">
        <f>+E74*G74</f>
        <v/>
      </c>
    </row>
    <row r="75">
      <c r="A75" s="8" t="n"/>
      <c r="B75" s="7" t="n"/>
      <c r="C75" s="8" t="n"/>
      <c r="D75" s="21" t="n"/>
      <c r="E75" s="22" t="n"/>
      <c r="F75" s="22">
        <f>IFERROR(+VLOOKUP(D75,Master!B:C,2,0),"")</f>
        <v/>
      </c>
      <c r="G75" s="23" t="n"/>
      <c r="H75" s="23">
        <f>+E75*G75</f>
        <v/>
      </c>
    </row>
    <row r="76">
      <c r="A76" s="8" t="n"/>
      <c r="B76" s="7" t="n"/>
      <c r="C76" s="8" t="n"/>
      <c r="D76" s="21" t="n"/>
      <c r="E76" s="22" t="n"/>
      <c r="F76" s="22">
        <f>IFERROR(+VLOOKUP(D76,Master!B:C,2,0),"")</f>
        <v/>
      </c>
      <c r="G76" s="23" t="n"/>
      <c r="H76" s="23">
        <f>+E76*G76</f>
        <v/>
      </c>
    </row>
    <row r="77">
      <c r="A77" s="8" t="n"/>
      <c r="B77" s="7" t="n"/>
      <c r="C77" s="8" t="n"/>
      <c r="D77" s="21" t="n"/>
      <c r="E77" s="22" t="n"/>
      <c r="F77" s="22">
        <f>IFERROR(+VLOOKUP(D77,Master!B:C,2,0),"")</f>
        <v/>
      </c>
      <c r="G77" s="23" t="n"/>
      <c r="H77" s="23">
        <f>+E77*G77</f>
        <v/>
      </c>
    </row>
    <row r="78">
      <c r="A78" s="8" t="n"/>
      <c r="B78" s="7" t="n"/>
      <c r="C78" s="8" t="n"/>
      <c r="D78" s="21" t="n"/>
      <c r="E78" s="22" t="n"/>
      <c r="F78" s="22">
        <f>IFERROR(+VLOOKUP(D78,Master!B:C,2,0),"")</f>
        <v/>
      </c>
      <c r="G78" s="23" t="n"/>
      <c r="H78" s="23">
        <f>+E78*G78</f>
        <v/>
      </c>
    </row>
    <row r="79">
      <c r="A79" s="8" t="n"/>
      <c r="B79" s="7" t="n"/>
      <c r="C79" s="8" t="n"/>
      <c r="D79" s="21" t="n"/>
      <c r="E79" s="22" t="n"/>
      <c r="F79" s="22">
        <f>IFERROR(+VLOOKUP(D79,Master!B:C,2,0),"")</f>
        <v/>
      </c>
      <c r="G79" s="23" t="n"/>
      <c r="H79" s="23">
        <f>+E79*G79</f>
        <v/>
      </c>
    </row>
    <row r="80">
      <c r="A80" s="8" t="n"/>
      <c r="B80" s="7" t="n"/>
      <c r="C80" s="8" t="n"/>
      <c r="D80" s="21" t="n"/>
      <c r="E80" s="22" t="n"/>
      <c r="F80" s="22">
        <f>IFERROR(+VLOOKUP(D80,Master!B:C,2,0),"")</f>
        <v/>
      </c>
      <c r="G80" s="23" t="n"/>
      <c r="H80" s="23">
        <f>+E80*G80</f>
        <v/>
      </c>
    </row>
    <row r="81">
      <c r="A81" s="8" t="n"/>
      <c r="B81" s="7" t="n"/>
      <c r="C81" s="8" t="n"/>
      <c r="D81" s="21" t="n"/>
      <c r="E81" s="22" t="n"/>
      <c r="F81" s="22">
        <f>IFERROR(+VLOOKUP(D81,Master!B:C,2,0),"")</f>
        <v/>
      </c>
      <c r="G81" s="23" t="n"/>
      <c r="H81" s="23">
        <f>+E81*G81</f>
        <v/>
      </c>
    </row>
    <row r="82">
      <c r="A82" s="8" t="n"/>
      <c r="B82" s="7" t="n"/>
      <c r="C82" s="8" t="n"/>
      <c r="D82" s="21" t="n"/>
      <c r="E82" s="22" t="n"/>
      <c r="F82" s="22">
        <f>IFERROR(+VLOOKUP(D82,Master!B:C,2,0),"")</f>
        <v/>
      </c>
      <c r="G82" s="23" t="n"/>
      <c r="H82" s="23">
        <f>+E82*G82</f>
        <v/>
      </c>
    </row>
    <row r="83">
      <c r="A83" s="8" t="n"/>
      <c r="B83" s="7" t="n"/>
      <c r="C83" s="8" t="n"/>
      <c r="D83" s="21" t="n"/>
      <c r="E83" s="22" t="n"/>
      <c r="F83" s="22">
        <f>IFERROR(+VLOOKUP(D83,Master!B:C,2,0),"")</f>
        <v/>
      </c>
      <c r="G83" s="23" t="n"/>
      <c r="H83" s="23">
        <f>+E83*G83</f>
        <v/>
      </c>
    </row>
    <row r="84">
      <c r="A84" s="8" t="n"/>
      <c r="B84" s="7" t="n"/>
      <c r="C84" s="8" t="n"/>
      <c r="D84" s="21" t="n"/>
      <c r="E84" s="22" t="n"/>
      <c r="F84" s="22">
        <f>IFERROR(+VLOOKUP(D84,Master!B:C,2,0),"")</f>
        <v/>
      </c>
      <c r="G84" s="23" t="n"/>
      <c r="H84" s="23">
        <f>+E84*G84</f>
        <v/>
      </c>
    </row>
    <row r="85">
      <c r="A85" s="8" t="n"/>
      <c r="B85" s="7" t="n"/>
      <c r="C85" s="8" t="n"/>
      <c r="D85" s="21" t="n"/>
      <c r="E85" s="22" t="n"/>
      <c r="F85" s="22">
        <f>IFERROR(+VLOOKUP(D85,Master!B:C,2,0),"")</f>
        <v/>
      </c>
      <c r="G85" s="23" t="n"/>
      <c r="H85" s="23">
        <f>+E85*G85</f>
        <v/>
      </c>
    </row>
    <row r="86">
      <c r="A86" s="8" t="n"/>
      <c r="B86" s="7" t="n"/>
      <c r="C86" s="8" t="n"/>
      <c r="D86" s="21" t="n"/>
      <c r="E86" s="22" t="n"/>
      <c r="F86" s="22">
        <f>IFERROR(+VLOOKUP(D86,Master!B:C,2,0),"")</f>
        <v/>
      </c>
      <c r="G86" s="23" t="n"/>
      <c r="H86" s="23">
        <f>+E86*G86</f>
        <v/>
      </c>
    </row>
    <row r="87">
      <c r="A87" s="8" t="n"/>
      <c r="B87" s="7" t="n"/>
      <c r="C87" s="8" t="n"/>
      <c r="D87" s="21" t="n"/>
      <c r="E87" s="22" t="n"/>
      <c r="F87" s="22">
        <f>IFERROR(+VLOOKUP(D87,Master!B:C,2,0),"")</f>
        <v/>
      </c>
      <c r="G87" s="23" t="n"/>
      <c r="H87" s="23">
        <f>+E87*G87</f>
        <v/>
      </c>
    </row>
    <row r="88">
      <c r="A88" s="8" t="n"/>
      <c r="B88" s="7" t="n"/>
      <c r="C88" s="8" t="n"/>
      <c r="D88" s="21" t="n"/>
      <c r="E88" s="22" t="n"/>
      <c r="F88" s="22">
        <f>IFERROR(+VLOOKUP(D88,Master!B:C,2,0),"")</f>
        <v/>
      </c>
      <c r="G88" s="23" t="n"/>
      <c r="H88" s="23">
        <f>+E88*G88</f>
        <v/>
      </c>
    </row>
    <row r="89">
      <c r="A89" s="8" t="n"/>
      <c r="B89" s="7" t="n"/>
      <c r="C89" s="8" t="n"/>
      <c r="D89" s="21" t="n"/>
      <c r="E89" s="22" t="n"/>
      <c r="F89" s="22">
        <f>IFERROR(+VLOOKUP(D89,Master!B:C,2,0),"")</f>
        <v/>
      </c>
      <c r="G89" s="23" t="n"/>
      <c r="H89" s="23">
        <f>+E89*G89</f>
        <v/>
      </c>
    </row>
    <row r="90">
      <c r="A90" s="8" t="n"/>
      <c r="B90" s="7" t="n"/>
      <c r="C90" s="8" t="n"/>
      <c r="D90" s="21" t="n"/>
      <c r="E90" s="22" t="n"/>
      <c r="F90" s="22">
        <f>IFERROR(+VLOOKUP(D90,Master!B:C,2,0),"")</f>
        <v/>
      </c>
      <c r="G90" s="23" t="n"/>
      <c r="H90" s="23">
        <f>+E90*G90</f>
        <v/>
      </c>
    </row>
    <row r="91">
      <c r="A91" s="8" t="n"/>
      <c r="B91" s="7" t="n"/>
      <c r="C91" s="8" t="n"/>
      <c r="D91" s="21" t="n"/>
      <c r="E91" s="22" t="n"/>
      <c r="F91" s="22">
        <f>IFERROR(+VLOOKUP(D91,Master!B:C,2,0),"")</f>
        <v/>
      </c>
      <c r="G91" s="23" t="n"/>
      <c r="H91" s="23">
        <f>+E91*G91</f>
        <v/>
      </c>
    </row>
    <row r="92">
      <c r="A92" s="8" t="n"/>
      <c r="B92" s="7" t="n"/>
      <c r="C92" s="8" t="n"/>
      <c r="D92" s="21" t="n"/>
      <c r="E92" s="22" t="n"/>
      <c r="F92" s="22">
        <f>IFERROR(+VLOOKUP(D92,Master!B:C,2,0),"")</f>
        <v/>
      </c>
      <c r="G92" s="23" t="n"/>
      <c r="H92" s="23">
        <f>+E92*G92</f>
        <v/>
      </c>
    </row>
    <row r="93">
      <c r="A93" s="8" t="n"/>
      <c r="B93" s="7" t="n"/>
      <c r="C93" s="8" t="n"/>
      <c r="D93" s="21" t="n"/>
      <c r="E93" s="22" t="n"/>
      <c r="F93" s="22">
        <f>IFERROR(+VLOOKUP(D93,Master!B:C,2,0),"")</f>
        <v/>
      </c>
      <c r="G93" s="23" t="n"/>
      <c r="H93" s="23">
        <f>+E93*G93</f>
        <v/>
      </c>
    </row>
    <row r="94">
      <c r="A94" s="8" t="n"/>
      <c r="B94" s="7" t="n"/>
      <c r="C94" s="8" t="n"/>
      <c r="D94" s="21" t="n"/>
      <c r="E94" s="22" t="n"/>
      <c r="F94" s="22">
        <f>IFERROR(+VLOOKUP(D94,Master!B:C,2,0),"")</f>
        <v/>
      </c>
      <c r="G94" s="23" t="n"/>
      <c r="H94" s="23">
        <f>+E94*G94</f>
        <v/>
      </c>
    </row>
    <row r="95">
      <c r="A95" s="8" t="n"/>
      <c r="B95" s="7" t="n"/>
      <c r="C95" s="8" t="n"/>
      <c r="D95" s="21" t="n"/>
      <c r="E95" s="22" t="n"/>
      <c r="F95" s="22">
        <f>IFERROR(+VLOOKUP(D95,Master!B:C,2,0),"")</f>
        <v/>
      </c>
      <c r="G95" s="23" t="n"/>
      <c r="H95" s="23">
        <f>+E95*G95</f>
        <v/>
      </c>
    </row>
    <row r="96">
      <c r="A96" s="8" t="n"/>
      <c r="B96" s="7" t="n"/>
      <c r="C96" s="8" t="n"/>
      <c r="D96" s="21" t="n"/>
      <c r="E96" s="22" t="n"/>
      <c r="F96" s="22">
        <f>IFERROR(+VLOOKUP(D96,Master!B:C,2,0),"")</f>
        <v/>
      </c>
      <c r="G96" s="23" t="n"/>
      <c r="H96" s="23">
        <f>+E96*G96</f>
        <v/>
      </c>
    </row>
    <row r="97">
      <c r="A97" s="8" t="n"/>
      <c r="B97" s="7" t="n"/>
      <c r="C97" s="8" t="n"/>
      <c r="D97" s="21" t="n"/>
      <c r="E97" s="22" t="n"/>
      <c r="F97" s="22">
        <f>IFERROR(+VLOOKUP(D97,Master!B:C,2,0),"")</f>
        <v/>
      </c>
      <c r="G97" s="23" t="n"/>
      <c r="H97" s="23">
        <f>+E97*G97</f>
        <v/>
      </c>
    </row>
    <row r="98">
      <c r="A98" s="8" t="n"/>
      <c r="B98" s="7" t="n"/>
      <c r="C98" s="8" t="n"/>
      <c r="D98" s="21" t="n"/>
      <c r="E98" s="22" t="n"/>
      <c r="F98" s="22">
        <f>IFERROR(+VLOOKUP(D98,Master!B:C,2,0),"")</f>
        <v/>
      </c>
      <c r="G98" s="23" t="n"/>
      <c r="H98" s="23">
        <f>+E98*G98</f>
        <v/>
      </c>
    </row>
    <row r="99">
      <c r="A99" s="8" t="n"/>
      <c r="B99" s="7" t="n"/>
      <c r="C99" s="8" t="n"/>
      <c r="D99" s="21" t="n"/>
      <c r="E99" s="22" t="n"/>
      <c r="F99" s="22">
        <f>IFERROR(+VLOOKUP(D99,Master!B:C,2,0),"")</f>
        <v/>
      </c>
      <c r="G99" s="23" t="n"/>
      <c r="H99" s="23">
        <f>+E99*G99</f>
        <v/>
      </c>
    </row>
    <row r="100">
      <c r="A100" s="8" t="n"/>
      <c r="B100" s="7" t="n"/>
      <c r="C100" s="8" t="n"/>
      <c r="D100" s="21" t="n"/>
      <c r="E100" s="22" t="n"/>
      <c r="F100" s="22">
        <f>IFERROR(+VLOOKUP(D100,Master!B:C,2,0),"")</f>
        <v/>
      </c>
      <c r="G100" s="23" t="n"/>
      <c r="H100" s="23">
        <f>+E100*G100</f>
        <v/>
      </c>
    </row>
    <row r="101">
      <c r="A101" s="8" t="n"/>
      <c r="B101" s="7" t="n"/>
      <c r="C101" s="8" t="n"/>
      <c r="D101" s="21" t="n"/>
      <c r="E101" s="22" t="n"/>
      <c r="F101" s="22">
        <f>IFERROR(+VLOOKUP(D101,Master!B:C,2,0),"")</f>
        <v/>
      </c>
      <c r="G101" s="23" t="n"/>
      <c r="H101" s="23">
        <f>+E101*G101</f>
        <v/>
      </c>
    </row>
    <row r="102">
      <c r="A102" s="8" t="n"/>
      <c r="B102" s="7" t="n"/>
      <c r="C102" s="8" t="n"/>
      <c r="D102" s="21" t="n"/>
      <c r="E102" s="22" t="n"/>
      <c r="F102" s="22">
        <f>IFERROR(+VLOOKUP(D102,Master!B:C,2,0),"")</f>
        <v/>
      </c>
      <c r="G102" s="23" t="n"/>
      <c r="H102" s="23">
        <f>+E102*G102</f>
        <v/>
      </c>
    </row>
    <row r="103">
      <c r="A103" s="8" t="n"/>
      <c r="B103" s="7" t="n"/>
      <c r="C103" s="8" t="n"/>
      <c r="D103" s="21" t="n"/>
      <c r="E103" s="22" t="n"/>
      <c r="F103" s="22">
        <f>IFERROR(+VLOOKUP(D103,Master!B:C,2,0),"")</f>
        <v/>
      </c>
      <c r="G103" s="23" t="n"/>
      <c r="H103" s="23">
        <f>+E103*G103</f>
        <v/>
      </c>
    </row>
    <row r="104">
      <c r="A104" s="8" t="n"/>
      <c r="B104" s="7" t="n"/>
      <c r="C104" s="8" t="n"/>
      <c r="D104" s="21" t="n"/>
      <c r="E104" s="22" t="n"/>
      <c r="F104" s="22">
        <f>IFERROR(+VLOOKUP(D104,Master!B:C,2,0),"")</f>
        <v/>
      </c>
      <c r="G104" s="23" t="n"/>
      <c r="H104" s="23">
        <f>+E104*G104</f>
        <v/>
      </c>
    </row>
    <row r="105">
      <c r="A105" s="8" t="n"/>
      <c r="B105" s="7" t="n"/>
      <c r="C105" s="8" t="n"/>
      <c r="D105" s="21" t="n"/>
      <c r="E105" s="22" t="n"/>
      <c r="F105" s="22">
        <f>IFERROR(+VLOOKUP(D105,Master!B:C,2,0),"")</f>
        <v/>
      </c>
      <c r="G105" s="23" t="n"/>
      <c r="H105" s="23">
        <f>+E105*G105</f>
        <v/>
      </c>
    </row>
    <row r="106">
      <c r="A106" s="8" t="n"/>
      <c r="B106" s="7" t="n"/>
      <c r="C106" s="8" t="n"/>
      <c r="D106" s="21" t="n"/>
      <c r="E106" s="22" t="n"/>
      <c r="F106" s="22">
        <f>IFERROR(+VLOOKUP(D106,Master!B:C,2,0),"")</f>
        <v/>
      </c>
      <c r="G106" s="23" t="n"/>
      <c r="H106" s="23">
        <f>+E106*G106</f>
        <v/>
      </c>
    </row>
    <row r="107">
      <c r="A107" s="8" t="n"/>
      <c r="B107" s="7" t="n"/>
      <c r="C107" s="8" t="n"/>
      <c r="D107" s="21" t="n"/>
      <c r="E107" s="22" t="n"/>
      <c r="F107" s="22">
        <f>IFERROR(+VLOOKUP(D107,Master!B:C,2,0),"")</f>
        <v/>
      </c>
      <c r="G107" s="23" t="n"/>
      <c r="H107" s="23">
        <f>+E107*G107</f>
        <v/>
      </c>
    </row>
    <row r="108">
      <c r="A108" s="8" t="n"/>
      <c r="B108" s="7" t="n"/>
      <c r="C108" s="8" t="n"/>
      <c r="D108" s="21" t="n"/>
      <c r="E108" s="22" t="n"/>
      <c r="F108" s="22">
        <f>IFERROR(+VLOOKUP(D108,Master!B:C,2,0),"")</f>
        <v/>
      </c>
      <c r="G108" s="23" t="n"/>
      <c r="H108" s="23">
        <f>+E108*G108</f>
        <v/>
      </c>
    </row>
    <row r="109">
      <c r="A109" s="8" t="n"/>
      <c r="B109" s="7" t="n"/>
      <c r="C109" s="8" t="n"/>
      <c r="D109" s="21" t="n"/>
      <c r="E109" s="22" t="n"/>
      <c r="F109" s="22">
        <f>IFERROR(+VLOOKUP(D109,Master!B:C,2,0),"")</f>
        <v/>
      </c>
      <c r="G109" s="23" t="n"/>
      <c r="H109" s="23">
        <f>+E109*G109</f>
        <v/>
      </c>
    </row>
    <row r="110">
      <c r="A110" s="8" t="n"/>
      <c r="B110" s="7" t="n"/>
      <c r="C110" s="8" t="n"/>
      <c r="D110" s="21" t="n"/>
      <c r="E110" s="22" t="n"/>
      <c r="F110" s="22">
        <f>IFERROR(+VLOOKUP(D110,Master!B:C,2,0),"")</f>
        <v/>
      </c>
      <c r="G110" s="23" t="n"/>
      <c r="H110" s="23">
        <f>+E110*G110</f>
        <v/>
      </c>
    </row>
    <row r="111">
      <c r="A111" s="8" t="n"/>
      <c r="B111" s="7" t="n"/>
      <c r="C111" s="8" t="n"/>
      <c r="D111" s="21" t="n"/>
      <c r="E111" s="22" t="n"/>
      <c r="F111" s="22">
        <f>IFERROR(+VLOOKUP(D111,Master!B:C,2,0),"")</f>
        <v/>
      </c>
      <c r="G111" s="23" t="n"/>
      <c r="H111" s="23">
        <f>+E111*G111</f>
        <v/>
      </c>
    </row>
    <row r="112">
      <c r="A112" s="8" t="n"/>
      <c r="B112" s="7" t="n"/>
      <c r="C112" s="8" t="n"/>
      <c r="D112" s="21" t="n"/>
      <c r="E112" s="22" t="n"/>
      <c r="F112" s="22">
        <f>IFERROR(+VLOOKUP(D112,Master!B:C,2,0),"")</f>
        <v/>
      </c>
      <c r="G112" s="23" t="n"/>
      <c r="H112" s="23">
        <f>+E112*G112</f>
        <v/>
      </c>
    </row>
    <row r="113">
      <c r="A113" s="8" t="n"/>
      <c r="B113" s="7" t="n"/>
      <c r="C113" s="8" t="n"/>
      <c r="D113" s="21" t="n"/>
      <c r="E113" s="22" t="n"/>
      <c r="F113" s="22">
        <f>IFERROR(+VLOOKUP(D113,Master!B:C,2,0),"")</f>
        <v/>
      </c>
      <c r="G113" s="23" t="n"/>
      <c r="H113" s="23">
        <f>+E113*G113</f>
        <v/>
      </c>
    </row>
    <row r="114">
      <c r="A114" s="8" t="n"/>
      <c r="B114" s="7" t="n"/>
      <c r="C114" s="8" t="n"/>
      <c r="D114" s="21" t="n"/>
      <c r="E114" s="22" t="n"/>
      <c r="F114" s="22">
        <f>IFERROR(+VLOOKUP(D114,Master!B:C,2,0),"")</f>
        <v/>
      </c>
      <c r="G114" s="23" t="n"/>
      <c r="H114" s="23">
        <f>+E114*G114</f>
        <v/>
      </c>
    </row>
    <row r="115">
      <c r="A115" s="8" t="n"/>
      <c r="B115" s="7" t="n"/>
      <c r="C115" s="8" t="n"/>
      <c r="D115" s="21" t="n"/>
      <c r="E115" s="22" t="n"/>
      <c r="F115" s="22">
        <f>IFERROR(+VLOOKUP(D115,Master!B:C,2,0),"")</f>
        <v/>
      </c>
      <c r="G115" s="23" t="n"/>
      <c r="H115" s="23">
        <f>+E115*G115</f>
        <v/>
      </c>
    </row>
    <row r="116">
      <c r="A116" s="8" t="n"/>
      <c r="B116" s="7" t="n"/>
      <c r="C116" s="8" t="n"/>
      <c r="D116" s="21" t="n"/>
      <c r="E116" s="22" t="n"/>
      <c r="F116" s="22">
        <f>IFERROR(+VLOOKUP(D116,Master!B:C,2,0),"")</f>
        <v/>
      </c>
      <c r="G116" s="23" t="n"/>
      <c r="H116" s="23">
        <f>+E116*G116</f>
        <v/>
      </c>
    </row>
    <row r="117">
      <c r="A117" s="8" t="n"/>
      <c r="B117" s="7" t="n"/>
      <c r="C117" s="8" t="n"/>
      <c r="D117" s="21" t="n"/>
      <c r="E117" s="22" t="n"/>
      <c r="F117" s="22">
        <f>IFERROR(+VLOOKUP(D117,Master!B:C,2,0),"")</f>
        <v/>
      </c>
      <c r="G117" s="23" t="n"/>
      <c r="H117" s="23">
        <f>+E117*G117</f>
        <v/>
      </c>
    </row>
    <row r="118">
      <c r="A118" s="8" t="n"/>
      <c r="B118" s="7" t="n"/>
      <c r="C118" s="8" t="n"/>
      <c r="D118" s="21" t="n"/>
      <c r="E118" s="22" t="n"/>
      <c r="F118" s="22">
        <f>IFERROR(+VLOOKUP(D118,Master!B:C,2,0),"")</f>
        <v/>
      </c>
      <c r="G118" s="23" t="n"/>
      <c r="H118" s="23">
        <f>+E118*G118</f>
        <v/>
      </c>
    </row>
    <row r="119">
      <c r="A119" s="8" t="n"/>
      <c r="B119" s="7" t="n"/>
      <c r="C119" s="8" t="n"/>
      <c r="D119" s="21" t="n"/>
      <c r="E119" s="22" t="n"/>
      <c r="F119" s="22">
        <f>IFERROR(+VLOOKUP(D119,Master!B:C,2,0),"")</f>
        <v/>
      </c>
      <c r="G119" s="23" t="n"/>
      <c r="H119" s="23">
        <f>+E119*G119</f>
        <v/>
      </c>
    </row>
    <row r="120">
      <c r="A120" s="8" t="n"/>
      <c r="B120" s="7" t="n"/>
      <c r="C120" s="8" t="n"/>
      <c r="D120" s="21" t="n"/>
      <c r="E120" s="22" t="n"/>
      <c r="F120" s="22">
        <f>IFERROR(+VLOOKUP(D120,Master!B:C,2,0),"")</f>
        <v/>
      </c>
      <c r="G120" s="23" t="n"/>
      <c r="H120" s="23">
        <f>+E120*G120</f>
        <v/>
      </c>
    </row>
    <row r="121">
      <c r="A121" s="8" t="n"/>
      <c r="B121" s="7" t="n"/>
      <c r="C121" s="8" t="n"/>
      <c r="D121" s="21" t="n"/>
      <c r="E121" s="22" t="n"/>
      <c r="F121" s="22">
        <f>IFERROR(+VLOOKUP(D121,Master!B:C,2,0),"")</f>
        <v/>
      </c>
      <c r="G121" s="23" t="n"/>
      <c r="H121" s="23">
        <f>+E121*G121</f>
        <v/>
      </c>
    </row>
    <row r="122">
      <c r="A122" s="8" t="n"/>
      <c r="B122" s="7" t="n"/>
      <c r="C122" s="8" t="n"/>
      <c r="D122" s="21" t="n"/>
      <c r="E122" s="22" t="n"/>
      <c r="F122" s="22">
        <f>IFERROR(+VLOOKUP(D122,Master!B:C,2,0),"")</f>
        <v/>
      </c>
      <c r="G122" s="23" t="n"/>
      <c r="H122" s="23">
        <f>+E122*G122</f>
        <v/>
      </c>
    </row>
    <row r="123">
      <c r="A123" s="8" t="n"/>
      <c r="B123" s="7" t="n"/>
      <c r="C123" s="8" t="n"/>
      <c r="D123" s="21" t="n"/>
      <c r="E123" s="22" t="n"/>
      <c r="F123" s="22">
        <f>IFERROR(+VLOOKUP(D123,Master!B:C,2,0),"")</f>
        <v/>
      </c>
      <c r="G123" s="23" t="n"/>
      <c r="H123" s="23">
        <f>+E123*G123</f>
        <v/>
      </c>
    </row>
    <row r="124">
      <c r="A124" s="8" t="n"/>
      <c r="B124" s="7" t="n"/>
      <c r="C124" s="8" t="n"/>
      <c r="D124" s="21" t="n"/>
      <c r="E124" s="22" t="n"/>
      <c r="F124" s="22">
        <f>IFERROR(+VLOOKUP(D124,Master!B:C,2,0),"")</f>
        <v/>
      </c>
      <c r="G124" s="23" t="n"/>
      <c r="H124" s="23">
        <f>+E124*G124</f>
        <v/>
      </c>
    </row>
    <row r="125">
      <c r="A125" s="8" t="n"/>
      <c r="B125" s="7" t="n"/>
      <c r="C125" s="8" t="n"/>
      <c r="D125" s="21" t="n"/>
      <c r="E125" s="22" t="n"/>
      <c r="F125" s="22">
        <f>IFERROR(+VLOOKUP(D125,Master!B:C,2,0),"")</f>
        <v/>
      </c>
      <c r="G125" s="23" t="n"/>
      <c r="H125" s="23">
        <f>+E125*G125</f>
        <v/>
      </c>
    </row>
    <row r="126">
      <c r="A126" s="8" t="n"/>
      <c r="B126" s="7" t="n"/>
      <c r="C126" s="8" t="n"/>
      <c r="D126" s="21" t="n"/>
      <c r="E126" s="22" t="n"/>
      <c r="F126" s="22">
        <f>IFERROR(+VLOOKUP(D126,Master!B:C,2,0),"")</f>
        <v/>
      </c>
      <c r="G126" s="23" t="n"/>
      <c r="H126" s="23">
        <f>+E126*G126</f>
        <v/>
      </c>
    </row>
    <row r="127">
      <c r="A127" s="8" t="n"/>
      <c r="B127" s="7" t="n"/>
      <c r="C127" s="8" t="n"/>
      <c r="D127" s="21" t="n"/>
      <c r="E127" s="22" t="n"/>
      <c r="F127" s="22">
        <f>IFERROR(+VLOOKUP(D127,Master!B:C,2,0),"")</f>
        <v/>
      </c>
      <c r="G127" s="23" t="n"/>
      <c r="H127" s="23">
        <f>+E127*G127</f>
        <v/>
      </c>
    </row>
    <row r="128">
      <c r="A128" s="8" t="n"/>
      <c r="B128" s="7" t="n"/>
      <c r="C128" s="8" t="n"/>
      <c r="D128" s="21" t="n"/>
      <c r="E128" s="22" t="n"/>
      <c r="F128" s="22">
        <f>IFERROR(+VLOOKUP(D128,Master!B:C,2,0),"")</f>
        <v/>
      </c>
      <c r="G128" s="23" t="n"/>
      <c r="H128" s="23">
        <f>+E128*G128</f>
        <v/>
      </c>
    </row>
    <row r="129">
      <c r="A129" s="8" t="n"/>
      <c r="B129" s="7" t="n"/>
      <c r="C129" s="8" t="n"/>
      <c r="D129" s="21" t="n"/>
      <c r="E129" s="22" t="n"/>
      <c r="F129" s="22">
        <f>IFERROR(+VLOOKUP(D129,Master!B:C,2,0),"")</f>
        <v/>
      </c>
      <c r="G129" s="23" t="n"/>
      <c r="H129" s="23">
        <f>+E129*G129</f>
        <v/>
      </c>
    </row>
    <row r="130">
      <c r="A130" s="8" t="n"/>
      <c r="B130" s="7" t="n"/>
      <c r="C130" s="8" t="n"/>
      <c r="D130" s="21" t="n"/>
      <c r="E130" s="22" t="n"/>
      <c r="F130" s="22">
        <f>IFERROR(+VLOOKUP(D130,Master!B:C,2,0),"")</f>
        <v/>
      </c>
      <c r="G130" s="23" t="n"/>
      <c r="H130" s="23">
        <f>+E130*G130</f>
        <v/>
      </c>
    </row>
    <row r="131">
      <c r="A131" s="8" t="n"/>
      <c r="B131" s="7" t="n"/>
      <c r="C131" s="8" t="n"/>
      <c r="D131" s="21" t="n"/>
      <c r="E131" s="22" t="n"/>
      <c r="F131" s="22">
        <f>IFERROR(+VLOOKUP(D131,Master!B:C,2,0),"")</f>
        <v/>
      </c>
      <c r="G131" s="23" t="n"/>
      <c r="H131" s="23">
        <f>+E131*G131</f>
        <v/>
      </c>
    </row>
    <row r="132">
      <c r="A132" s="8" t="n"/>
      <c r="B132" s="7" t="n"/>
      <c r="C132" s="8" t="n"/>
      <c r="D132" s="21" t="n"/>
      <c r="E132" s="22" t="n"/>
      <c r="F132" s="22">
        <f>IFERROR(+VLOOKUP(D132,Master!B:C,2,0),"")</f>
        <v/>
      </c>
      <c r="G132" s="23" t="n"/>
      <c r="H132" s="23">
        <f>+E132*G132</f>
        <v/>
      </c>
    </row>
    <row r="133">
      <c r="A133" s="8" t="n"/>
      <c r="B133" s="7" t="n"/>
      <c r="C133" s="8" t="n"/>
      <c r="D133" s="21" t="n"/>
      <c r="E133" s="22" t="n"/>
      <c r="F133" s="22">
        <f>IFERROR(+VLOOKUP(D133,Master!B:C,2,0),"")</f>
        <v/>
      </c>
      <c r="G133" s="23" t="n"/>
      <c r="H133" s="23">
        <f>+E133*G133</f>
        <v/>
      </c>
    </row>
    <row r="134">
      <c r="A134" s="8" t="n"/>
      <c r="B134" s="7" t="n"/>
      <c r="C134" s="8" t="n"/>
      <c r="D134" s="21" t="n"/>
      <c r="E134" s="22" t="n"/>
      <c r="F134" s="22">
        <f>IFERROR(+VLOOKUP(D134,Master!B:C,2,0),"")</f>
        <v/>
      </c>
      <c r="G134" s="23" t="n"/>
      <c r="H134" s="23">
        <f>+E134*G134</f>
        <v/>
      </c>
    </row>
    <row r="135">
      <c r="A135" s="8" t="n"/>
      <c r="B135" s="7" t="n"/>
      <c r="C135" s="8" t="n"/>
      <c r="D135" s="21" t="n"/>
      <c r="E135" s="22" t="n"/>
      <c r="F135" s="22">
        <f>IFERROR(+VLOOKUP(D135,Master!B:C,2,0),"")</f>
        <v/>
      </c>
      <c r="G135" s="23" t="n"/>
      <c r="H135" s="23">
        <f>+E135*G135</f>
        <v/>
      </c>
    </row>
    <row r="136">
      <c r="A136" s="8" t="n"/>
      <c r="B136" s="7" t="n"/>
      <c r="C136" s="8" t="n"/>
      <c r="D136" s="21" t="n"/>
      <c r="E136" s="22" t="n"/>
      <c r="F136" s="22">
        <f>IFERROR(+VLOOKUP(D136,Master!B:C,2,0),"")</f>
        <v/>
      </c>
      <c r="G136" s="23" t="n"/>
      <c r="H136" s="23">
        <f>+E136*G136</f>
        <v/>
      </c>
    </row>
    <row r="137">
      <c r="A137" s="8" t="n"/>
      <c r="B137" s="7" t="n"/>
      <c r="C137" s="8" t="n"/>
      <c r="D137" s="21" t="n"/>
      <c r="E137" s="22" t="n"/>
      <c r="F137" s="22">
        <f>IFERROR(+VLOOKUP(D137,Master!B:C,2,0),"")</f>
        <v/>
      </c>
      <c r="G137" s="23" t="n"/>
      <c r="H137" s="23">
        <f>+E137*G137</f>
        <v/>
      </c>
    </row>
    <row r="138">
      <c r="A138" s="8" t="n"/>
      <c r="B138" s="7" t="n"/>
      <c r="C138" s="8" t="n"/>
      <c r="D138" s="21" t="n"/>
      <c r="E138" s="22" t="n"/>
      <c r="F138" s="22">
        <f>IFERROR(+VLOOKUP(D138,Master!B:C,2,0),"")</f>
        <v/>
      </c>
      <c r="G138" s="23" t="n"/>
      <c r="H138" s="23">
        <f>+E138*G138</f>
        <v/>
      </c>
    </row>
    <row r="139">
      <c r="A139" s="8" t="n"/>
      <c r="B139" s="7" t="n"/>
      <c r="C139" s="8" t="n"/>
      <c r="D139" s="21" t="n"/>
      <c r="E139" s="22" t="n"/>
      <c r="F139" s="22">
        <f>IFERROR(+VLOOKUP(D139,Master!B:C,2,0),"")</f>
        <v/>
      </c>
      <c r="G139" s="23" t="n"/>
      <c r="H139" s="23">
        <f>+E139*G139</f>
        <v/>
      </c>
    </row>
    <row r="140">
      <c r="A140" s="8" t="n"/>
      <c r="B140" s="7" t="n"/>
      <c r="C140" s="8" t="n"/>
      <c r="D140" s="21" t="n"/>
      <c r="E140" s="22" t="n"/>
      <c r="F140" s="22">
        <f>IFERROR(+VLOOKUP(D140,Master!B:C,2,0),"")</f>
        <v/>
      </c>
      <c r="G140" s="23" t="n"/>
      <c r="H140" s="23">
        <f>+E140*G140</f>
        <v/>
      </c>
    </row>
    <row r="141">
      <c r="A141" s="8" t="n"/>
      <c r="B141" s="7" t="n"/>
      <c r="C141" s="8" t="n"/>
      <c r="D141" s="21" t="n"/>
      <c r="E141" s="22" t="n"/>
      <c r="F141" s="22">
        <f>IFERROR(+VLOOKUP(D141,Master!B:C,2,0),"")</f>
        <v/>
      </c>
      <c r="G141" s="23" t="n"/>
      <c r="H141" s="23">
        <f>+E141*G141</f>
        <v/>
      </c>
    </row>
    <row r="142">
      <c r="A142" s="8" t="n"/>
      <c r="B142" s="7" t="n"/>
      <c r="C142" s="8" t="n"/>
      <c r="D142" s="21" t="n"/>
      <c r="E142" s="22" t="n"/>
      <c r="F142" s="22">
        <f>IFERROR(+VLOOKUP(D142,Master!B:C,2,0),"")</f>
        <v/>
      </c>
      <c r="G142" s="23" t="n"/>
      <c r="H142" s="23">
        <f>+E142*G142</f>
        <v/>
      </c>
    </row>
    <row r="143">
      <c r="A143" s="8" t="n"/>
      <c r="B143" s="7" t="n"/>
      <c r="C143" s="8" t="n"/>
      <c r="D143" s="21" t="n"/>
      <c r="E143" s="22" t="n"/>
      <c r="F143" s="22">
        <f>IFERROR(+VLOOKUP(D143,Master!B:C,2,0),"")</f>
        <v/>
      </c>
      <c r="G143" s="23" t="n"/>
      <c r="H143" s="23">
        <f>+E143*G143</f>
        <v/>
      </c>
    </row>
    <row r="144">
      <c r="A144" s="8" t="n"/>
      <c r="B144" s="7" t="n"/>
      <c r="C144" s="8" t="n"/>
      <c r="D144" s="21" t="n"/>
      <c r="E144" s="22" t="n"/>
      <c r="F144" s="22">
        <f>IFERROR(+VLOOKUP(D144,Master!B:C,2,0),"")</f>
        <v/>
      </c>
      <c r="G144" s="23" t="n"/>
      <c r="H144" s="23">
        <f>+E144*G144</f>
        <v/>
      </c>
    </row>
    <row r="145">
      <c r="A145" s="8" t="n"/>
      <c r="B145" s="7" t="n"/>
      <c r="C145" s="8" t="n"/>
      <c r="D145" s="21" t="n"/>
      <c r="E145" s="22" t="n"/>
      <c r="F145" s="22">
        <f>IFERROR(+VLOOKUP(D145,Master!B:C,2,0),"")</f>
        <v/>
      </c>
      <c r="G145" s="23" t="n"/>
      <c r="H145" s="23">
        <f>+E145*G145</f>
        <v/>
      </c>
    </row>
    <row r="146">
      <c r="A146" s="8" t="n"/>
      <c r="B146" s="7" t="n"/>
      <c r="C146" s="8" t="n"/>
      <c r="D146" s="21" t="n"/>
      <c r="E146" s="22" t="n"/>
      <c r="F146" s="22">
        <f>IFERROR(+VLOOKUP(D146,Master!B:C,2,0),"")</f>
        <v/>
      </c>
      <c r="G146" s="23" t="n"/>
      <c r="H146" s="23">
        <f>+E146*G146</f>
        <v/>
      </c>
    </row>
    <row r="147">
      <c r="A147" s="8" t="n"/>
      <c r="B147" s="7" t="n"/>
      <c r="C147" s="8" t="n"/>
      <c r="D147" s="21" t="n"/>
      <c r="E147" s="22" t="n"/>
      <c r="F147" s="22">
        <f>IFERROR(+VLOOKUP(D147,Master!B:C,2,0),"")</f>
        <v/>
      </c>
      <c r="G147" s="23" t="n"/>
      <c r="H147" s="23">
        <f>+E147*G147</f>
        <v/>
      </c>
    </row>
    <row r="148">
      <c r="A148" s="8" t="n"/>
      <c r="B148" s="7" t="n"/>
      <c r="C148" s="8" t="n"/>
      <c r="D148" s="21" t="n"/>
      <c r="E148" s="22" t="n"/>
      <c r="F148" s="22">
        <f>IFERROR(+VLOOKUP(D148,Master!B:C,2,0),"")</f>
        <v/>
      </c>
      <c r="G148" s="23" t="n"/>
      <c r="H148" s="23">
        <f>+E148*G148</f>
        <v/>
      </c>
    </row>
    <row r="149">
      <c r="A149" s="8" t="n"/>
      <c r="B149" s="7" t="n"/>
      <c r="C149" s="8" t="n"/>
      <c r="D149" s="21" t="n"/>
      <c r="E149" s="22" t="n"/>
      <c r="F149" s="22">
        <f>IFERROR(+VLOOKUP(D149,Master!B:C,2,0),"")</f>
        <v/>
      </c>
      <c r="G149" s="23" t="n"/>
      <c r="H149" s="23">
        <f>+E149*G149</f>
        <v/>
      </c>
    </row>
    <row r="150">
      <c r="A150" s="8" t="n"/>
      <c r="B150" s="7" t="n"/>
      <c r="C150" s="8" t="n"/>
      <c r="D150" s="21" t="n"/>
      <c r="E150" s="22" t="n"/>
      <c r="F150" s="22">
        <f>IFERROR(+VLOOKUP(D150,Master!B:C,2,0),"")</f>
        <v/>
      </c>
      <c r="G150" s="23" t="n"/>
      <c r="H150" s="23">
        <f>+E150*G150</f>
        <v/>
      </c>
    </row>
    <row r="151">
      <c r="A151" s="8" t="n"/>
      <c r="B151" s="7" t="n"/>
      <c r="C151" s="8" t="n"/>
      <c r="D151" s="21" t="n"/>
      <c r="E151" s="22" t="n"/>
      <c r="F151" s="22">
        <f>IFERROR(+VLOOKUP(D151,Master!B:C,2,0),"")</f>
        <v/>
      </c>
      <c r="G151" s="23" t="n"/>
      <c r="H151" s="23">
        <f>+E151*G151</f>
        <v/>
      </c>
    </row>
    <row r="152">
      <c r="A152" s="8" t="n"/>
      <c r="B152" s="7" t="n"/>
      <c r="C152" s="8" t="n"/>
      <c r="D152" s="21" t="n"/>
      <c r="E152" s="22" t="n"/>
      <c r="F152" s="22">
        <f>IFERROR(+VLOOKUP(D152,Master!B:C,2,0),"")</f>
        <v/>
      </c>
      <c r="G152" s="23" t="n"/>
      <c r="H152" s="23">
        <f>+E152*G152</f>
        <v/>
      </c>
    </row>
    <row r="153">
      <c r="A153" s="8" t="n"/>
      <c r="B153" s="7" t="n"/>
      <c r="C153" s="8" t="n"/>
      <c r="D153" s="21" t="n"/>
      <c r="E153" s="22" t="n"/>
      <c r="F153" s="22">
        <f>IFERROR(+VLOOKUP(D153,Master!B:C,2,0),"")</f>
        <v/>
      </c>
      <c r="G153" s="23" t="n"/>
      <c r="H153" s="23">
        <f>+E153*G153</f>
        <v/>
      </c>
    </row>
    <row r="154">
      <c r="A154" s="8" t="n"/>
      <c r="B154" s="7" t="n"/>
      <c r="C154" s="8" t="n"/>
      <c r="D154" s="21" t="n"/>
      <c r="E154" s="22" t="n"/>
      <c r="F154" s="22">
        <f>IFERROR(+VLOOKUP(D154,Master!B:C,2,0),"")</f>
        <v/>
      </c>
      <c r="G154" s="23" t="n"/>
      <c r="H154" s="23">
        <f>+E154*G154</f>
        <v/>
      </c>
    </row>
    <row r="155">
      <c r="A155" s="8" t="n"/>
      <c r="B155" s="7" t="n"/>
      <c r="C155" s="8" t="n"/>
      <c r="D155" s="21" t="n"/>
      <c r="E155" s="22" t="n"/>
      <c r="F155" s="22">
        <f>IFERROR(+VLOOKUP(D155,Master!B:C,2,0),"")</f>
        <v/>
      </c>
      <c r="G155" s="23" t="n"/>
      <c r="H155" s="23">
        <f>+E155*G155</f>
        <v/>
      </c>
    </row>
    <row r="156">
      <c r="A156" s="8" t="n"/>
      <c r="B156" s="7" t="n"/>
      <c r="C156" s="8" t="n"/>
      <c r="D156" s="21" t="n"/>
      <c r="E156" s="22" t="n"/>
      <c r="F156" s="22">
        <f>IFERROR(+VLOOKUP(D156,Master!B:C,2,0),"")</f>
        <v/>
      </c>
      <c r="G156" s="23" t="n"/>
      <c r="H156" s="23">
        <f>+E156*G156</f>
        <v/>
      </c>
    </row>
    <row r="157">
      <c r="A157" s="8" t="n"/>
      <c r="B157" s="7" t="n"/>
      <c r="C157" s="8" t="n"/>
      <c r="D157" s="21" t="n"/>
      <c r="E157" s="22" t="n"/>
      <c r="F157" s="22">
        <f>IFERROR(+VLOOKUP(D157,Master!B:C,2,0),"")</f>
        <v/>
      </c>
      <c r="G157" s="23" t="n"/>
      <c r="H157" s="23">
        <f>+E157*G157</f>
        <v/>
      </c>
    </row>
    <row r="158">
      <c r="A158" s="8" t="n"/>
      <c r="B158" s="7" t="n"/>
      <c r="C158" s="8" t="n"/>
      <c r="D158" s="21" t="n"/>
      <c r="E158" s="22" t="n"/>
      <c r="F158" s="22">
        <f>IFERROR(+VLOOKUP(D158,Master!B:C,2,0),"")</f>
        <v/>
      </c>
      <c r="G158" s="23" t="n"/>
      <c r="H158" s="23">
        <f>+E158*G158</f>
        <v/>
      </c>
    </row>
    <row r="159">
      <c r="A159" s="8" t="n"/>
      <c r="B159" s="7" t="n"/>
      <c r="C159" s="8" t="n"/>
      <c r="D159" s="21" t="n"/>
      <c r="E159" s="22" t="n"/>
      <c r="F159" s="22">
        <f>IFERROR(+VLOOKUP(D159,Master!B:C,2,0),"")</f>
        <v/>
      </c>
      <c r="G159" s="23" t="n"/>
      <c r="H159" s="23">
        <f>+E159*G159</f>
        <v/>
      </c>
    </row>
    <row r="160">
      <c r="A160" s="8" t="n"/>
      <c r="B160" s="7" t="n"/>
      <c r="C160" s="8" t="n"/>
      <c r="D160" s="21" t="n"/>
      <c r="E160" s="22" t="n"/>
      <c r="F160" s="22">
        <f>IFERROR(+VLOOKUP(D160,Master!B:C,2,0),"")</f>
        <v/>
      </c>
      <c r="G160" s="23" t="n"/>
      <c r="H160" s="23">
        <f>+E160*G160</f>
        <v/>
      </c>
    </row>
    <row r="161">
      <c r="A161" s="8" t="n"/>
      <c r="B161" s="7" t="n"/>
      <c r="C161" s="8" t="n"/>
      <c r="D161" s="21" t="n"/>
      <c r="E161" s="22" t="n"/>
      <c r="F161" s="22">
        <f>IFERROR(+VLOOKUP(D161,Master!B:C,2,0),"")</f>
        <v/>
      </c>
      <c r="G161" s="23" t="n"/>
      <c r="H161" s="23">
        <f>+E161*G161</f>
        <v/>
      </c>
    </row>
    <row r="162">
      <c r="A162" s="8" t="n"/>
      <c r="B162" s="7" t="n"/>
      <c r="C162" s="8" t="n"/>
      <c r="D162" s="21" t="n"/>
      <c r="E162" s="22" t="n"/>
      <c r="F162" s="22">
        <f>IFERROR(+VLOOKUP(D162,Master!B:C,2,0),"")</f>
        <v/>
      </c>
      <c r="G162" s="23" t="n"/>
      <c r="H162" s="23">
        <f>+E162*G162</f>
        <v/>
      </c>
    </row>
    <row r="163">
      <c r="A163" s="8" t="n"/>
      <c r="B163" s="7" t="n"/>
      <c r="C163" s="8" t="n"/>
      <c r="D163" s="21" t="n"/>
      <c r="E163" s="22" t="n"/>
      <c r="F163" s="22">
        <f>IFERROR(+VLOOKUP(D163,Master!B:C,2,0),"")</f>
        <v/>
      </c>
      <c r="G163" s="23" t="n"/>
      <c r="H163" s="23">
        <f>+E163*G163</f>
        <v/>
      </c>
    </row>
    <row r="164">
      <c r="A164" s="8" t="n"/>
      <c r="B164" s="7" t="n"/>
      <c r="C164" s="8" t="n"/>
      <c r="D164" s="21" t="n"/>
      <c r="E164" s="22" t="n"/>
      <c r="F164" s="22">
        <f>IFERROR(+VLOOKUP(D164,Master!B:C,2,0),"")</f>
        <v/>
      </c>
      <c r="G164" s="23" t="n"/>
      <c r="H164" s="23">
        <f>+E164*G164</f>
        <v/>
      </c>
    </row>
    <row r="165">
      <c r="A165" s="8" t="n"/>
      <c r="B165" s="7" t="n"/>
      <c r="C165" s="8" t="n"/>
      <c r="D165" s="21" t="n"/>
      <c r="E165" s="22" t="n"/>
      <c r="F165" s="22">
        <f>IFERROR(+VLOOKUP(D165,Master!B:C,2,0),"")</f>
        <v/>
      </c>
      <c r="G165" s="23" t="n"/>
      <c r="H165" s="23">
        <f>+E165*G165</f>
        <v/>
      </c>
    </row>
    <row r="166">
      <c r="A166" s="8" t="n"/>
      <c r="B166" s="7" t="n"/>
      <c r="C166" s="8" t="n"/>
      <c r="D166" s="21" t="n"/>
      <c r="E166" s="22" t="n"/>
      <c r="F166" s="22">
        <f>IFERROR(+VLOOKUP(D166,Master!B:C,2,0),"")</f>
        <v/>
      </c>
      <c r="G166" s="23" t="n"/>
      <c r="H166" s="23">
        <f>+E166*G166</f>
        <v/>
      </c>
    </row>
    <row r="167">
      <c r="A167" s="8" t="n"/>
      <c r="B167" s="7" t="n"/>
      <c r="C167" s="8" t="n"/>
      <c r="D167" s="21" t="n"/>
      <c r="E167" s="22" t="n"/>
      <c r="F167" s="22">
        <f>IFERROR(+VLOOKUP(D167,Master!B:C,2,0),"")</f>
        <v/>
      </c>
      <c r="G167" s="23" t="n"/>
      <c r="H167" s="23">
        <f>+E167*G167</f>
        <v/>
      </c>
    </row>
    <row r="168">
      <c r="A168" s="8" t="n"/>
      <c r="B168" s="7" t="n"/>
      <c r="C168" s="8" t="n"/>
      <c r="D168" s="21" t="n"/>
      <c r="E168" s="22" t="n"/>
      <c r="F168" s="22">
        <f>IFERROR(+VLOOKUP(D168,Master!B:C,2,0),"")</f>
        <v/>
      </c>
      <c r="G168" s="23" t="n"/>
      <c r="H168" s="23">
        <f>+E168*G168</f>
        <v/>
      </c>
    </row>
    <row r="169">
      <c r="A169" s="8" t="n"/>
      <c r="B169" s="7" t="n"/>
      <c r="C169" s="8" t="n"/>
      <c r="D169" s="21" t="n"/>
      <c r="E169" s="22" t="n"/>
      <c r="F169" s="22">
        <f>IFERROR(+VLOOKUP(D169,Master!B:C,2,0),"")</f>
        <v/>
      </c>
      <c r="G169" s="23" t="n"/>
      <c r="H169" s="23">
        <f>+E169*G169</f>
        <v/>
      </c>
    </row>
    <row r="170">
      <c r="A170" s="8" t="n"/>
      <c r="B170" s="7" t="n"/>
      <c r="C170" s="8" t="n"/>
      <c r="D170" s="21" t="n"/>
      <c r="E170" s="22" t="n"/>
      <c r="F170" s="22">
        <f>IFERROR(+VLOOKUP(D170,Master!B:C,2,0),"")</f>
        <v/>
      </c>
      <c r="G170" s="23" t="n"/>
      <c r="H170" s="23">
        <f>+E170*G170</f>
        <v/>
      </c>
    </row>
    <row r="171">
      <c r="A171" s="8" t="n"/>
      <c r="B171" s="7" t="n"/>
      <c r="C171" s="8" t="n"/>
      <c r="D171" s="21" t="n"/>
      <c r="E171" s="22" t="n"/>
      <c r="F171" s="22">
        <f>IFERROR(+VLOOKUP(D171,Master!B:C,2,0),"")</f>
        <v/>
      </c>
      <c r="G171" s="23" t="n"/>
      <c r="H171" s="23">
        <f>+E171*G171</f>
        <v/>
      </c>
    </row>
    <row r="172">
      <c r="A172" s="8" t="n"/>
      <c r="B172" s="7" t="n"/>
      <c r="C172" s="8" t="n"/>
      <c r="D172" s="21" t="n"/>
      <c r="E172" s="22" t="n"/>
      <c r="F172" s="22">
        <f>IFERROR(+VLOOKUP(D172,Master!B:C,2,0),"")</f>
        <v/>
      </c>
      <c r="G172" s="23" t="n"/>
      <c r="H172" s="23">
        <f>+E172*G172</f>
        <v/>
      </c>
    </row>
    <row r="173">
      <c r="A173" s="8" t="n"/>
      <c r="B173" s="7" t="n"/>
      <c r="C173" s="8" t="n"/>
      <c r="D173" s="21" t="n"/>
      <c r="E173" s="22" t="n"/>
      <c r="F173" s="22">
        <f>IFERROR(+VLOOKUP(D173,Master!B:C,2,0),"")</f>
        <v/>
      </c>
      <c r="G173" s="23" t="n"/>
      <c r="H173" s="23">
        <f>+E173*G173</f>
        <v/>
      </c>
    </row>
    <row r="174">
      <c r="A174" s="8" t="n"/>
      <c r="B174" s="7" t="n"/>
      <c r="C174" s="8" t="n"/>
      <c r="D174" s="21" t="n"/>
      <c r="E174" s="22" t="n"/>
      <c r="F174" s="22">
        <f>IFERROR(+VLOOKUP(D174,Master!B:C,2,0),"")</f>
        <v/>
      </c>
      <c r="G174" s="23" t="n"/>
      <c r="H174" s="23">
        <f>+E174*G174</f>
        <v/>
      </c>
    </row>
    <row r="175">
      <c r="A175" s="8" t="n"/>
      <c r="B175" s="7" t="n"/>
      <c r="C175" s="8" t="n"/>
      <c r="D175" s="21" t="n"/>
      <c r="E175" s="22" t="n"/>
      <c r="F175" s="22">
        <f>IFERROR(+VLOOKUP(D175,Master!B:C,2,0),"")</f>
        <v/>
      </c>
      <c r="G175" s="23" t="n"/>
      <c r="H175" s="23">
        <f>+E175*G175</f>
        <v/>
      </c>
    </row>
    <row r="176">
      <c r="A176" s="8" t="n"/>
      <c r="B176" s="7" t="n"/>
      <c r="C176" s="8" t="n"/>
      <c r="D176" s="21" t="n"/>
      <c r="E176" s="22" t="n"/>
      <c r="F176" s="22">
        <f>IFERROR(+VLOOKUP(D176,Master!B:C,2,0),"")</f>
        <v/>
      </c>
      <c r="G176" s="23" t="n"/>
      <c r="H176" s="23">
        <f>+E176*G176</f>
        <v/>
      </c>
    </row>
    <row r="177">
      <c r="A177" s="8" t="n"/>
      <c r="B177" s="7" t="n"/>
      <c r="C177" s="8" t="n"/>
      <c r="D177" s="21" t="n"/>
      <c r="E177" s="22" t="n"/>
      <c r="F177" s="22">
        <f>IFERROR(+VLOOKUP(D177,Master!B:C,2,0),"")</f>
        <v/>
      </c>
      <c r="G177" s="23" t="n"/>
      <c r="H177" s="23">
        <f>+E177*G177</f>
        <v/>
      </c>
    </row>
    <row r="178">
      <c r="A178" s="8" t="n"/>
      <c r="B178" s="7" t="n"/>
      <c r="C178" s="8" t="n"/>
      <c r="D178" s="21" t="n"/>
      <c r="E178" s="22" t="n"/>
      <c r="F178" s="22">
        <f>IFERROR(+VLOOKUP(D178,Master!B:C,2,0),"")</f>
        <v/>
      </c>
      <c r="G178" s="23" t="n"/>
      <c r="H178" s="23">
        <f>+E178*G178</f>
        <v/>
      </c>
    </row>
    <row r="179">
      <c r="A179" s="8" t="n"/>
      <c r="B179" s="7" t="n"/>
      <c r="C179" s="8" t="n"/>
      <c r="D179" s="21" t="n"/>
      <c r="E179" s="22" t="n"/>
      <c r="F179" s="22">
        <f>IFERROR(+VLOOKUP(D179,Master!B:C,2,0),"")</f>
        <v/>
      </c>
      <c r="G179" s="23" t="n"/>
      <c r="H179" s="23">
        <f>+E179*G179</f>
        <v/>
      </c>
    </row>
    <row r="180">
      <c r="A180" s="8" t="n"/>
      <c r="B180" s="7" t="n"/>
      <c r="C180" s="8" t="n"/>
      <c r="D180" s="21" t="n"/>
      <c r="E180" s="22" t="n"/>
      <c r="F180" s="22">
        <f>IFERROR(+VLOOKUP(D180,Master!B:C,2,0),"")</f>
        <v/>
      </c>
      <c r="G180" s="23" t="n"/>
      <c r="H180" s="23">
        <f>+E180*G180</f>
        <v/>
      </c>
    </row>
    <row r="181">
      <c r="A181" s="8" t="n"/>
      <c r="B181" s="7" t="n"/>
      <c r="C181" s="8" t="n"/>
      <c r="D181" s="21" t="n"/>
      <c r="E181" s="22" t="n"/>
      <c r="F181" s="22">
        <f>IFERROR(+VLOOKUP(D181,Master!B:C,2,0),"")</f>
        <v/>
      </c>
      <c r="G181" s="23" t="n"/>
      <c r="H181" s="23">
        <f>+E181*G181</f>
        <v/>
      </c>
    </row>
    <row r="182">
      <c r="A182" s="8" t="n"/>
      <c r="B182" s="7" t="n"/>
      <c r="C182" s="8" t="n"/>
      <c r="D182" s="21" t="n"/>
      <c r="E182" s="22" t="n"/>
      <c r="F182" s="22">
        <f>IFERROR(+VLOOKUP(D182,Master!B:C,2,0),"")</f>
        <v/>
      </c>
      <c r="G182" s="23" t="n"/>
      <c r="H182" s="23">
        <f>+E182*G182</f>
        <v/>
      </c>
    </row>
    <row r="183">
      <c r="A183" s="8" t="n"/>
      <c r="B183" s="7" t="n"/>
      <c r="C183" s="8" t="n"/>
      <c r="D183" s="21" t="n"/>
      <c r="E183" s="22" t="n"/>
      <c r="F183" s="22">
        <f>IFERROR(+VLOOKUP(D183,Master!B:C,2,0),"")</f>
        <v/>
      </c>
      <c r="G183" s="23" t="n"/>
      <c r="H183" s="23">
        <f>+E183*G183</f>
        <v/>
      </c>
    </row>
    <row r="184">
      <c r="A184" s="8" t="n"/>
      <c r="B184" s="7" t="n"/>
      <c r="C184" s="8" t="n"/>
      <c r="D184" s="21" t="n"/>
      <c r="E184" s="22" t="n"/>
      <c r="F184" s="22">
        <f>IFERROR(+VLOOKUP(D184,Master!B:C,2,0),"")</f>
        <v/>
      </c>
      <c r="G184" s="23" t="n"/>
      <c r="H184" s="23">
        <f>+E184*G184</f>
        <v/>
      </c>
    </row>
    <row r="185">
      <c r="A185" s="8" t="n"/>
      <c r="B185" s="7" t="n"/>
      <c r="C185" s="8" t="n"/>
      <c r="D185" s="21" t="n"/>
      <c r="E185" s="22" t="n"/>
      <c r="F185" s="22">
        <f>IFERROR(+VLOOKUP(D185,Master!B:C,2,0),"")</f>
        <v/>
      </c>
      <c r="G185" s="23" t="n"/>
      <c r="H185" s="23">
        <f>+E185*G185</f>
        <v/>
      </c>
    </row>
    <row r="186">
      <c r="A186" s="8" t="n"/>
      <c r="B186" s="7" t="n"/>
      <c r="C186" s="8" t="n"/>
      <c r="D186" s="21" t="n"/>
      <c r="E186" s="22" t="n"/>
      <c r="F186" s="22">
        <f>IFERROR(+VLOOKUP(D186,Master!B:C,2,0),"")</f>
        <v/>
      </c>
      <c r="G186" s="23" t="n"/>
      <c r="H186" s="23">
        <f>+E186*G186</f>
        <v/>
      </c>
    </row>
    <row r="187">
      <c r="A187" s="8" t="n"/>
      <c r="B187" s="7" t="n"/>
      <c r="C187" s="8" t="n"/>
      <c r="D187" s="21" t="n"/>
      <c r="E187" s="22" t="n"/>
      <c r="F187" s="22">
        <f>IFERROR(+VLOOKUP(D187,Master!B:C,2,0),"")</f>
        <v/>
      </c>
      <c r="G187" s="23" t="n"/>
      <c r="H187" s="23">
        <f>+E187*G187</f>
        <v/>
      </c>
    </row>
    <row r="188">
      <c r="A188" s="8" t="n"/>
      <c r="B188" s="7" t="n"/>
      <c r="C188" s="8" t="n"/>
      <c r="D188" s="21" t="n"/>
      <c r="E188" s="22" t="n"/>
      <c r="F188" s="22">
        <f>IFERROR(+VLOOKUP(D188,Master!B:C,2,0),"")</f>
        <v/>
      </c>
      <c r="G188" s="23" t="n"/>
      <c r="H188" s="23">
        <f>+E188*G188</f>
        <v/>
      </c>
    </row>
    <row r="189">
      <c r="A189" s="8" t="n"/>
      <c r="B189" s="7" t="n"/>
      <c r="C189" s="8" t="n"/>
      <c r="D189" s="21" t="n"/>
      <c r="E189" s="22" t="n"/>
      <c r="F189" s="22">
        <f>IFERROR(+VLOOKUP(D189,Master!B:C,2,0),"")</f>
        <v/>
      </c>
      <c r="G189" s="23" t="n"/>
      <c r="H189" s="23">
        <f>+E189*G189</f>
        <v/>
      </c>
    </row>
    <row r="190">
      <c r="A190" s="8" t="n"/>
      <c r="B190" s="7" t="n"/>
      <c r="C190" s="8" t="n"/>
      <c r="D190" s="21" t="n"/>
      <c r="E190" s="22" t="n"/>
      <c r="F190" s="22">
        <f>IFERROR(+VLOOKUP(D190,Master!B:C,2,0),"")</f>
        <v/>
      </c>
      <c r="G190" s="23" t="n"/>
      <c r="H190" s="23">
        <f>+E190*G190</f>
        <v/>
      </c>
    </row>
    <row r="191">
      <c r="A191" s="8" t="n"/>
      <c r="B191" s="7" t="n"/>
      <c r="C191" s="8" t="n"/>
      <c r="D191" s="21" t="n"/>
      <c r="E191" s="22" t="n"/>
      <c r="F191" s="22">
        <f>IFERROR(+VLOOKUP(D191,Master!B:C,2,0),"")</f>
        <v/>
      </c>
      <c r="G191" s="23" t="n"/>
      <c r="H191" s="23">
        <f>+E191*G191</f>
        <v/>
      </c>
    </row>
    <row r="192">
      <c r="A192" s="8" t="n"/>
      <c r="B192" s="7" t="n"/>
      <c r="C192" s="8" t="n"/>
      <c r="D192" s="21" t="n"/>
      <c r="E192" s="22" t="n"/>
      <c r="F192" s="22">
        <f>IFERROR(+VLOOKUP(D192,Master!B:C,2,0),"")</f>
        <v/>
      </c>
      <c r="G192" s="23" t="n"/>
      <c r="H192" s="23">
        <f>+E192*G192</f>
        <v/>
      </c>
    </row>
    <row r="193">
      <c r="A193" s="8" t="n"/>
      <c r="B193" s="7" t="n"/>
      <c r="C193" s="8" t="n"/>
      <c r="D193" s="21" t="n"/>
      <c r="E193" s="22" t="n"/>
      <c r="F193" s="22">
        <f>IFERROR(+VLOOKUP(D193,Master!B:C,2,0),"")</f>
        <v/>
      </c>
      <c r="G193" s="23" t="n"/>
      <c r="H193" s="23">
        <f>+E193*G193</f>
        <v/>
      </c>
    </row>
    <row r="194">
      <c r="A194" s="8" t="n"/>
      <c r="B194" s="7" t="n"/>
      <c r="C194" s="8" t="n"/>
      <c r="D194" s="21" t="n"/>
      <c r="E194" s="22" t="n"/>
      <c r="F194" s="22">
        <f>IFERROR(+VLOOKUP(D194,Master!B:C,2,0),"")</f>
        <v/>
      </c>
      <c r="G194" s="23" t="n"/>
      <c r="H194" s="23">
        <f>+E194*G194</f>
        <v/>
      </c>
    </row>
    <row r="195">
      <c r="A195" s="8" t="n"/>
      <c r="B195" s="7" t="n"/>
      <c r="C195" s="8" t="n"/>
      <c r="D195" s="21" t="n"/>
      <c r="E195" s="22" t="n"/>
      <c r="F195" s="22">
        <f>IFERROR(+VLOOKUP(D195,Master!B:C,2,0),"")</f>
        <v/>
      </c>
      <c r="G195" s="23" t="n"/>
      <c r="H195" s="23">
        <f>+E195*G195</f>
        <v/>
      </c>
    </row>
    <row r="196">
      <c r="A196" s="8" t="n"/>
      <c r="B196" s="7" t="n"/>
      <c r="C196" s="8" t="n"/>
      <c r="D196" s="21" t="n"/>
      <c r="E196" s="22" t="n"/>
      <c r="F196" s="22">
        <f>IFERROR(+VLOOKUP(D196,Master!B:C,2,0),"")</f>
        <v/>
      </c>
      <c r="G196" s="23" t="n"/>
      <c r="H196" s="23">
        <f>+E196*G196</f>
        <v/>
      </c>
    </row>
    <row r="197">
      <c r="A197" s="8" t="n"/>
      <c r="B197" s="7" t="n"/>
      <c r="C197" s="8" t="n"/>
      <c r="D197" s="21" t="n"/>
      <c r="E197" s="22" t="n"/>
      <c r="F197" s="22">
        <f>IFERROR(+VLOOKUP(D197,Master!B:C,2,0),"")</f>
        <v/>
      </c>
      <c r="G197" s="23" t="n"/>
      <c r="H197" s="23">
        <f>+E197*G197</f>
        <v/>
      </c>
    </row>
    <row r="198">
      <c r="A198" s="8" t="n"/>
      <c r="B198" s="7" t="n"/>
      <c r="C198" s="8" t="n"/>
      <c r="D198" s="21" t="n"/>
      <c r="E198" s="22" t="n"/>
      <c r="F198" s="22">
        <f>IFERROR(+VLOOKUP(D198,Master!B:C,2,0),"")</f>
        <v/>
      </c>
      <c r="G198" s="23" t="n"/>
      <c r="H198" s="23">
        <f>+E198*G198</f>
        <v/>
      </c>
    </row>
    <row r="199">
      <c r="A199" s="8" t="n"/>
      <c r="B199" s="7" t="n"/>
      <c r="C199" s="8" t="n"/>
      <c r="D199" s="21" t="n"/>
      <c r="E199" s="22" t="n"/>
      <c r="F199" s="22">
        <f>IFERROR(+VLOOKUP(D199,Master!B:C,2,0),"")</f>
        <v/>
      </c>
      <c r="G199" s="23" t="n"/>
      <c r="H199" s="23">
        <f>+E199*G199</f>
        <v/>
      </c>
    </row>
    <row r="200">
      <c r="A200" s="8" t="n"/>
      <c r="B200" s="7" t="n"/>
      <c r="C200" s="8" t="n"/>
      <c r="D200" s="21" t="n"/>
      <c r="E200" s="22" t="n"/>
      <c r="F200" s="22">
        <f>IFERROR(+VLOOKUP(D200,Master!B:C,2,0),"")</f>
        <v/>
      </c>
      <c r="G200" s="23" t="n"/>
      <c r="H200" s="23">
        <f>+E200*G200</f>
        <v/>
      </c>
    </row>
    <row r="201">
      <c r="A201" s="8" t="n"/>
      <c r="B201" s="7" t="n"/>
      <c r="C201" s="8" t="n"/>
      <c r="D201" s="21" t="n"/>
      <c r="E201" s="22" t="n"/>
      <c r="F201" s="22">
        <f>IFERROR(+VLOOKUP(D201,Master!B:C,2,0),"")</f>
        <v/>
      </c>
      <c r="G201" s="23" t="n"/>
      <c r="H201" s="23">
        <f>+E201*G201</f>
        <v/>
      </c>
    </row>
    <row r="202">
      <c r="A202" s="8" t="n"/>
      <c r="B202" s="7" t="n"/>
      <c r="C202" s="8" t="n"/>
      <c r="D202" s="21" t="n"/>
      <c r="E202" s="22" t="n"/>
      <c r="F202" s="22">
        <f>IFERROR(+VLOOKUP(D202,Master!B:C,2,0),"")</f>
        <v/>
      </c>
      <c r="G202" s="23" t="n"/>
      <c r="H202" s="23">
        <f>+E202*G202</f>
        <v/>
      </c>
    </row>
    <row r="203">
      <c r="A203" s="8" t="n"/>
      <c r="B203" s="7" t="n"/>
      <c r="C203" s="8" t="n"/>
      <c r="D203" s="21" t="n"/>
      <c r="E203" s="22" t="n"/>
      <c r="F203" s="22">
        <f>IFERROR(+VLOOKUP(D203,Master!B:C,2,0),"")</f>
        <v/>
      </c>
      <c r="G203" s="23" t="n"/>
      <c r="H203" s="23">
        <f>+E203*G203</f>
        <v/>
      </c>
    </row>
    <row r="204">
      <c r="A204" s="8" t="n"/>
      <c r="B204" s="7" t="n"/>
      <c r="C204" s="8" t="n"/>
      <c r="D204" s="21" t="n"/>
      <c r="E204" s="22" t="n"/>
      <c r="F204" s="22">
        <f>IFERROR(+VLOOKUP(D204,Master!B:C,2,0),"")</f>
        <v/>
      </c>
      <c r="G204" s="23" t="n"/>
      <c r="H204" s="23">
        <f>+E204*G204</f>
        <v/>
      </c>
    </row>
    <row r="205">
      <c r="A205" s="8" t="n"/>
      <c r="B205" s="7" t="n"/>
      <c r="C205" s="8" t="n"/>
      <c r="D205" s="21" t="n"/>
      <c r="E205" s="22" t="n"/>
      <c r="F205" s="22">
        <f>IFERROR(+VLOOKUP(D205,Master!B:C,2,0),"")</f>
        <v/>
      </c>
      <c r="G205" s="23" t="n"/>
      <c r="H205" s="23">
        <f>+E205*G205</f>
        <v/>
      </c>
    </row>
    <row r="206">
      <c r="A206" s="8" t="n"/>
      <c r="B206" s="7" t="n"/>
      <c r="C206" s="8" t="n"/>
      <c r="D206" s="21" t="n"/>
      <c r="E206" s="22" t="n"/>
      <c r="F206" s="22">
        <f>IFERROR(+VLOOKUP(D206,Master!B:C,2,0),"")</f>
        <v/>
      </c>
      <c r="G206" s="23" t="n"/>
      <c r="H206" s="23">
        <f>+E206*G206</f>
        <v/>
      </c>
    </row>
    <row r="207">
      <c r="A207" s="8" t="n"/>
      <c r="B207" s="7" t="n"/>
      <c r="C207" s="8" t="n"/>
      <c r="D207" s="21" t="n"/>
      <c r="E207" s="22" t="n"/>
      <c r="F207" s="22">
        <f>IFERROR(+VLOOKUP(D207,Master!B:C,2,0),"")</f>
        <v/>
      </c>
      <c r="G207" s="23" t="n"/>
      <c r="H207" s="23">
        <f>+E207*G207</f>
        <v/>
      </c>
    </row>
    <row r="208">
      <c r="A208" s="8" t="n"/>
      <c r="B208" s="7" t="n"/>
      <c r="C208" s="8" t="n"/>
      <c r="D208" s="21" t="n"/>
      <c r="E208" s="22" t="n"/>
      <c r="F208" s="22">
        <f>IFERROR(+VLOOKUP(D208,Master!B:C,2,0),"")</f>
        <v/>
      </c>
      <c r="G208" s="23" t="n"/>
      <c r="H208" s="23">
        <f>+E208*G208</f>
        <v/>
      </c>
    </row>
    <row r="209">
      <c r="A209" s="8" t="n"/>
      <c r="B209" s="7" t="n"/>
      <c r="C209" s="8" t="n"/>
      <c r="D209" s="21" t="n"/>
      <c r="E209" s="22" t="n"/>
      <c r="F209" s="22">
        <f>IFERROR(+VLOOKUP(D209,Master!B:C,2,0),"")</f>
        <v/>
      </c>
      <c r="G209" s="23" t="n"/>
      <c r="H209" s="23">
        <f>+E209*G209</f>
        <v/>
      </c>
    </row>
    <row r="210">
      <c r="A210" s="8" t="n"/>
      <c r="B210" s="7" t="n"/>
      <c r="C210" s="8" t="n"/>
      <c r="D210" s="21" t="n"/>
      <c r="E210" s="22" t="n"/>
      <c r="F210" s="22">
        <f>IFERROR(+VLOOKUP(D210,Master!B:C,2,0),"")</f>
        <v/>
      </c>
      <c r="G210" s="23" t="n"/>
      <c r="H210" s="23">
        <f>+E210*G210</f>
        <v/>
      </c>
    </row>
    <row r="211">
      <c r="A211" s="8" t="n"/>
      <c r="B211" s="7" t="n"/>
      <c r="C211" s="8" t="n"/>
      <c r="D211" s="21" t="n"/>
      <c r="E211" s="22" t="n"/>
      <c r="F211" s="22">
        <f>IFERROR(+VLOOKUP(D211,Master!B:C,2,0),"")</f>
        <v/>
      </c>
      <c r="G211" s="23" t="n"/>
      <c r="H211" s="23">
        <f>+E211*G211</f>
        <v/>
      </c>
    </row>
    <row r="212">
      <c r="A212" s="8" t="n"/>
      <c r="B212" s="7" t="n"/>
      <c r="C212" s="8" t="n"/>
      <c r="D212" s="21" t="n"/>
      <c r="E212" s="22" t="n"/>
      <c r="F212" s="22">
        <f>IFERROR(+VLOOKUP(D212,Master!B:C,2,0),"")</f>
        <v/>
      </c>
      <c r="G212" s="23" t="n"/>
      <c r="H212" s="23">
        <f>+E212*G212</f>
        <v/>
      </c>
    </row>
    <row r="213">
      <c r="A213" s="8" t="n"/>
      <c r="B213" s="7" t="n"/>
      <c r="C213" s="8" t="n"/>
      <c r="D213" s="21" t="n"/>
      <c r="E213" s="22" t="n"/>
      <c r="F213" s="22">
        <f>IFERROR(+VLOOKUP(D213,Master!B:C,2,0),"")</f>
        <v/>
      </c>
      <c r="G213" s="23" t="n"/>
      <c r="H213" s="23">
        <f>+E213*G213</f>
        <v/>
      </c>
    </row>
    <row r="214">
      <c r="A214" s="8" t="n"/>
      <c r="B214" s="7" t="n"/>
      <c r="C214" s="8" t="n"/>
      <c r="D214" s="21" t="n"/>
      <c r="E214" s="22" t="n"/>
      <c r="F214" s="22">
        <f>IFERROR(+VLOOKUP(D214,Master!B:C,2,0),"")</f>
        <v/>
      </c>
      <c r="G214" s="23" t="n"/>
      <c r="H214" s="23">
        <f>+E214*G214</f>
        <v/>
      </c>
    </row>
    <row r="215">
      <c r="A215" s="8" t="n"/>
      <c r="B215" s="7" t="n"/>
      <c r="C215" s="8" t="n"/>
      <c r="D215" s="21" t="n"/>
      <c r="E215" s="22" t="n"/>
      <c r="F215" s="22">
        <f>IFERROR(+VLOOKUP(D215,Master!B:C,2,0),"")</f>
        <v/>
      </c>
      <c r="G215" s="23" t="n"/>
      <c r="H215" s="23">
        <f>+E215*G215</f>
        <v/>
      </c>
    </row>
    <row r="216">
      <c r="A216" s="8" t="n"/>
      <c r="B216" s="7" t="n"/>
      <c r="C216" s="8" t="n"/>
      <c r="D216" s="21" t="n"/>
      <c r="E216" s="22" t="n"/>
      <c r="F216" s="22">
        <f>IFERROR(+VLOOKUP(D216,Master!B:C,2,0),"")</f>
        <v/>
      </c>
      <c r="G216" s="23" t="n"/>
      <c r="H216" s="23">
        <f>+E216*G216</f>
        <v/>
      </c>
    </row>
    <row r="217">
      <c r="A217" s="8" t="n"/>
      <c r="B217" s="7" t="n"/>
      <c r="C217" s="8" t="n"/>
      <c r="D217" s="21" t="n"/>
      <c r="E217" s="22" t="n"/>
      <c r="F217" s="22">
        <f>IFERROR(+VLOOKUP(D217,Master!B:C,2,0),"")</f>
        <v/>
      </c>
      <c r="G217" s="23" t="n"/>
      <c r="H217" s="23">
        <f>+E217*G217</f>
        <v/>
      </c>
    </row>
    <row r="218">
      <c r="A218" s="8" t="n"/>
      <c r="B218" s="7" t="n"/>
      <c r="C218" s="8" t="n"/>
      <c r="D218" s="21" t="n"/>
      <c r="E218" s="22" t="n"/>
      <c r="F218" s="22">
        <f>IFERROR(+VLOOKUP(D218,Master!B:C,2,0),"")</f>
        <v/>
      </c>
      <c r="G218" s="23" t="n"/>
      <c r="H218" s="23">
        <f>+E218*G218</f>
        <v/>
      </c>
    </row>
    <row r="219">
      <c r="A219" s="8" t="n"/>
      <c r="B219" s="7" t="n"/>
      <c r="C219" s="8" t="n"/>
      <c r="D219" s="21" t="n"/>
      <c r="E219" s="22" t="n"/>
      <c r="F219" s="22">
        <f>IFERROR(+VLOOKUP(D219,Master!B:C,2,0),"")</f>
        <v/>
      </c>
      <c r="G219" s="23" t="n"/>
      <c r="H219" s="23">
        <f>+E219*G219</f>
        <v/>
      </c>
    </row>
    <row r="220">
      <c r="A220" s="8" t="n"/>
      <c r="B220" s="7" t="n"/>
      <c r="C220" s="8" t="n"/>
      <c r="D220" s="21" t="n"/>
      <c r="E220" s="22" t="n"/>
      <c r="F220" s="22">
        <f>IFERROR(+VLOOKUP(D220,Master!B:C,2,0),"")</f>
        <v/>
      </c>
      <c r="G220" s="23" t="n"/>
      <c r="H220" s="23">
        <f>+E220*G220</f>
        <v/>
      </c>
    </row>
    <row r="221">
      <c r="A221" s="8" t="n"/>
      <c r="B221" s="7" t="n"/>
      <c r="C221" s="8" t="n"/>
      <c r="D221" s="21" t="n"/>
      <c r="E221" s="22" t="n"/>
      <c r="F221" s="22">
        <f>IFERROR(+VLOOKUP(D221,Master!B:C,2,0),"")</f>
        <v/>
      </c>
      <c r="G221" s="23" t="n"/>
      <c r="H221" s="23">
        <f>+E221*G221</f>
        <v/>
      </c>
    </row>
    <row r="222">
      <c r="A222" s="8" t="n"/>
      <c r="B222" s="7" t="n"/>
      <c r="C222" s="8" t="n"/>
      <c r="D222" s="21" t="n"/>
      <c r="E222" s="22" t="n"/>
      <c r="F222" s="22">
        <f>IFERROR(+VLOOKUP(D222,Master!B:C,2,0),"")</f>
        <v/>
      </c>
      <c r="G222" s="23" t="n"/>
      <c r="H222" s="23">
        <f>+E222*G222</f>
        <v/>
      </c>
    </row>
    <row r="223">
      <c r="A223" s="8" t="n"/>
      <c r="B223" s="7" t="n"/>
      <c r="C223" s="8" t="n"/>
      <c r="D223" s="21" t="n"/>
      <c r="E223" s="22" t="n"/>
      <c r="F223" s="22">
        <f>IFERROR(+VLOOKUP(D223,Master!B:C,2,0),"")</f>
        <v/>
      </c>
      <c r="G223" s="23" t="n"/>
      <c r="H223" s="23">
        <f>+E223*G223</f>
        <v/>
      </c>
    </row>
    <row r="224">
      <c r="A224" s="8" t="n"/>
      <c r="B224" s="7" t="n"/>
      <c r="C224" s="8" t="n"/>
      <c r="D224" s="21" t="n"/>
      <c r="E224" s="22" t="n"/>
      <c r="F224" s="22">
        <f>IFERROR(+VLOOKUP(D224,Master!B:C,2,0),"")</f>
        <v/>
      </c>
      <c r="G224" s="23" t="n"/>
      <c r="H224" s="23">
        <f>+E224*G224</f>
        <v/>
      </c>
    </row>
    <row r="225">
      <c r="A225" s="8" t="n"/>
      <c r="B225" s="7" t="n"/>
      <c r="C225" s="8" t="n"/>
      <c r="D225" s="21" t="n"/>
      <c r="E225" s="22" t="n"/>
      <c r="F225" s="22">
        <f>IFERROR(+VLOOKUP(D225,Master!B:C,2,0),"")</f>
        <v/>
      </c>
      <c r="G225" s="23" t="n"/>
      <c r="H225" s="23">
        <f>+E225*G225</f>
        <v/>
      </c>
    </row>
    <row r="226">
      <c r="A226" s="8" t="n"/>
      <c r="B226" s="7" t="n"/>
      <c r="C226" s="8" t="n"/>
      <c r="D226" s="21" t="n"/>
      <c r="E226" s="22" t="n"/>
      <c r="F226" s="22">
        <f>IFERROR(+VLOOKUP(D226,Master!B:C,2,0),"")</f>
        <v/>
      </c>
      <c r="G226" s="23" t="n"/>
      <c r="H226" s="23">
        <f>+E226*G226</f>
        <v/>
      </c>
    </row>
    <row r="227">
      <c r="A227" s="8" t="n"/>
      <c r="B227" s="7" t="n"/>
      <c r="C227" s="8" t="n"/>
      <c r="D227" s="21" t="n"/>
      <c r="E227" s="22" t="n"/>
      <c r="F227" s="22">
        <f>IFERROR(+VLOOKUP(D227,Master!B:C,2,0),"")</f>
        <v/>
      </c>
      <c r="G227" s="23" t="n"/>
      <c r="H227" s="23">
        <f>+E227*G227</f>
        <v/>
      </c>
    </row>
    <row r="228">
      <c r="A228" s="8" t="n"/>
      <c r="B228" s="7" t="n"/>
      <c r="C228" s="8" t="n"/>
      <c r="D228" s="21" t="n"/>
      <c r="E228" s="22" t="n"/>
      <c r="F228" s="22">
        <f>IFERROR(+VLOOKUP(D228,Master!B:C,2,0),"")</f>
        <v/>
      </c>
      <c r="G228" s="23" t="n"/>
      <c r="H228" s="23">
        <f>+E228*G228</f>
        <v/>
      </c>
    </row>
    <row r="229">
      <c r="A229" s="8" t="n"/>
      <c r="B229" s="7" t="n"/>
      <c r="C229" s="8" t="n"/>
      <c r="D229" s="21" t="n"/>
      <c r="E229" s="22" t="n"/>
      <c r="F229" s="22">
        <f>IFERROR(+VLOOKUP(D229,Master!B:C,2,0),"")</f>
        <v/>
      </c>
      <c r="G229" s="23" t="n"/>
      <c r="H229" s="23">
        <f>+E229*G229</f>
        <v/>
      </c>
    </row>
    <row r="230">
      <c r="A230" s="8" t="n"/>
      <c r="B230" s="7" t="n"/>
      <c r="C230" s="8" t="n"/>
      <c r="D230" s="21" t="n"/>
      <c r="E230" s="22" t="n"/>
      <c r="F230" s="22">
        <f>IFERROR(+VLOOKUP(D230,Master!B:C,2,0),"")</f>
        <v/>
      </c>
      <c r="G230" s="23" t="n"/>
      <c r="H230" s="23">
        <f>+E230*G230</f>
        <v/>
      </c>
    </row>
    <row r="231">
      <c r="A231" s="8" t="n"/>
      <c r="B231" s="7" t="n"/>
      <c r="C231" s="8" t="n"/>
      <c r="D231" s="21" t="n"/>
      <c r="E231" s="22" t="n"/>
      <c r="F231" s="22">
        <f>IFERROR(+VLOOKUP(D231,Master!B:C,2,0),"")</f>
        <v/>
      </c>
      <c r="G231" s="23" t="n"/>
      <c r="H231" s="23">
        <f>+E231*G231</f>
        <v/>
      </c>
    </row>
    <row r="232">
      <c r="A232" s="8" t="n"/>
      <c r="B232" s="7" t="n"/>
      <c r="C232" s="8" t="n"/>
      <c r="D232" s="21" t="n"/>
      <c r="E232" s="22" t="n"/>
      <c r="F232" s="22">
        <f>IFERROR(+VLOOKUP(D232,Master!B:C,2,0),"")</f>
        <v/>
      </c>
      <c r="G232" s="23" t="n"/>
      <c r="H232" s="23">
        <f>+E232*G232</f>
        <v/>
      </c>
    </row>
    <row r="233">
      <c r="A233" s="8" t="n"/>
      <c r="B233" s="7" t="n"/>
      <c r="C233" s="8" t="n"/>
      <c r="D233" s="21" t="n"/>
      <c r="E233" s="22" t="n"/>
      <c r="F233" s="22">
        <f>IFERROR(+VLOOKUP(D233,Master!B:C,2,0),"")</f>
        <v/>
      </c>
      <c r="G233" s="23" t="n"/>
      <c r="H233" s="23">
        <f>+E233*G233</f>
        <v/>
      </c>
    </row>
    <row r="234">
      <c r="A234" s="8" t="n"/>
      <c r="B234" s="7" t="n"/>
      <c r="C234" s="8" t="n"/>
      <c r="D234" s="21" t="n"/>
      <c r="E234" s="22" t="n"/>
      <c r="F234" s="22">
        <f>IFERROR(+VLOOKUP(D234,Master!B:C,2,0),"")</f>
        <v/>
      </c>
      <c r="G234" s="23" t="n"/>
      <c r="H234" s="23">
        <f>+E234*G234</f>
        <v/>
      </c>
    </row>
    <row r="235">
      <c r="A235" s="8" t="n"/>
      <c r="B235" s="7" t="n"/>
      <c r="C235" s="8" t="n"/>
      <c r="D235" s="21" t="n"/>
      <c r="E235" s="22" t="n"/>
      <c r="F235" s="22">
        <f>IFERROR(+VLOOKUP(D235,Master!B:C,2,0),"")</f>
        <v/>
      </c>
      <c r="G235" s="23" t="n"/>
      <c r="H235" s="23">
        <f>+E235*G235</f>
        <v/>
      </c>
    </row>
    <row r="236">
      <c r="A236" s="8" t="n"/>
      <c r="B236" s="7" t="n"/>
      <c r="C236" s="8" t="n"/>
      <c r="D236" s="21" t="n"/>
      <c r="E236" s="22" t="n"/>
      <c r="F236" s="22">
        <f>IFERROR(+VLOOKUP(D236,Master!B:C,2,0),"")</f>
        <v/>
      </c>
      <c r="G236" s="23" t="n"/>
      <c r="H236" s="23">
        <f>+E236*G236</f>
        <v/>
      </c>
    </row>
    <row r="237">
      <c r="A237" s="8" t="n"/>
      <c r="B237" s="7" t="n"/>
      <c r="C237" s="8" t="n"/>
      <c r="D237" s="21" t="n"/>
      <c r="E237" s="22" t="n"/>
      <c r="F237" s="22">
        <f>IFERROR(+VLOOKUP(D237,Master!B:C,2,0),"")</f>
        <v/>
      </c>
      <c r="G237" s="23" t="n"/>
      <c r="H237" s="23">
        <f>+E237*G237</f>
        <v/>
      </c>
    </row>
    <row r="238">
      <c r="A238" s="8" t="n"/>
      <c r="B238" s="7" t="n"/>
      <c r="C238" s="8" t="n"/>
      <c r="D238" s="21" t="n"/>
      <c r="E238" s="22" t="n"/>
      <c r="F238" s="22">
        <f>IFERROR(+VLOOKUP(D238,Master!B:C,2,0),"")</f>
        <v/>
      </c>
      <c r="G238" s="23" t="n"/>
      <c r="H238" s="23">
        <f>+E238*G238</f>
        <v/>
      </c>
    </row>
    <row r="239">
      <c r="A239" s="8" t="n"/>
      <c r="B239" s="7" t="n"/>
      <c r="C239" s="8" t="n"/>
      <c r="D239" s="21" t="n"/>
      <c r="E239" s="22" t="n"/>
      <c r="F239" s="22">
        <f>IFERROR(+VLOOKUP(D239,Master!B:C,2,0),"")</f>
        <v/>
      </c>
      <c r="G239" s="23" t="n"/>
      <c r="H239" s="23">
        <f>+E239*G239</f>
        <v/>
      </c>
    </row>
    <row r="240">
      <c r="A240" s="8" t="n"/>
      <c r="B240" s="7" t="n"/>
      <c r="C240" s="8" t="n"/>
      <c r="D240" s="21" t="n"/>
      <c r="E240" s="22" t="n"/>
      <c r="F240" s="22">
        <f>IFERROR(+VLOOKUP(D240,Master!B:C,2,0),"")</f>
        <v/>
      </c>
      <c r="G240" s="23" t="n"/>
      <c r="H240" s="23">
        <f>+E240*G240</f>
        <v/>
      </c>
    </row>
    <row r="241">
      <c r="A241" s="8" t="n"/>
      <c r="B241" s="7" t="n"/>
      <c r="C241" s="8" t="n"/>
      <c r="D241" s="21" t="n"/>
      <c r="E241" s="22" t="n"/>
      <c r="F241" s="22">
        <f>IFERROR(+VLOOKUP(D241,Master!B:C,2,0),"")</f>
        <v/>
      </c>
      <c r="G241" s="23" t="n"/>
      <c r="H241" s="23">
        <f>+E241*G241</f>
        <v/>
      </c>
    </row>
    <row r="242">
      <c r="A242" s="8" t="n"/>
      <c r="B242" s="7" t="n"/>
      <c r="C242" s="8" t="n"/>
      <c r="D242" s="21" t="n"/>
      <c r="E242" s="22" t="n"/>
      <c r="F242" s="22">
        <f>IFERROR(+VLOOKUP(D242,Master!B:C,2,0),"")</f>
        <v/>
      </c>
      <c r="G242" s="23" t="n"/>
      <c r="H242" s="23">
        <f>+E242*G242</f>
        <v/>
      </c>
    </row>
    <row r="243">
      <c r="A243" s="8" t="n"/>
      <c r="B243" s="7" t="n"/>
      <c r="C243" s="8" t="n"/>
      <c r="D243" s="21" t="n"/>
      <c r="E243" s="22" t="n"/>
      <c r="F243" s="22">
        <f>IFERROR(+VLOOKUP(D243,Master!B:C,2,0),"")</f>
        <v/>
      </c>
      <c r="G243" s="23" t="n"/>
      <c r="H243" s="23">
        <f>+E243*G243</f>
        <v/>
      </c>
    </row>
    <row r="244">
      <c r="A244" s="8" t="n"/>
      <c r="B244" s="7" t="n"/>
      <c r="C244" s="8" t="n"/>
      <c r="D244" s="21" t="n"/>
      <c r="E244" s="22" t="n"/>
      <c r="F244" s="22">
        <f>IFERROR(+VLOOKUP(D244,Master!B:C,2,0),"")</f>
        <v/>
      </c>
      <c r="G244" s="23" t="n"/>
      <c r="H244" s="23">
        <f>+E244*G244</f>
        <v/>
      </c>
    </row>
    <row r="245">
      <c r="A245" s="8" t="n"/>
      <c r="B245" s="7" t="n"/>
      <c r="C245" s="8" t="n"/>
      <c r="D245" s="21" t="n"/>
      <c r="E245" s="22" t="n"/>
      <c r="F245" s="22">
        <f>IFERROR(+VLOOKUP(D245,Master!B:C,2,0),"")</f>
        <v/>
      </c>
      <c r="G245" s="23" t="n"/>
      <c r="H245" s="23">
        <f>+E245*G245</f>
        <v/>
      </c>
    </row>
    <row r="246">
      <c r="A246" s="8" t="n"/>
      <c r="B246" s="7" t="n"/>
      <c r="C246" s="8" t="n"/>
      <c r="D246" s="21" t="n"/>
      <c r="E246" s="22" t="n"/>
      <c r="F246" s="22">
        <f>IFERROR(+VLOOKUP(D246,Master!B:C,2,0),"")</f>
        <v/>
      </c>
      <c r="G246" s="23" t="n"/>
      <c r="H246" s="23">
        <f>+E246*G246</f>
        <v/>
      </c>
    </row>
    <row r="247">
      <c r="A247" s="8" t="n"/>
      <c r="B247" s="7" t="n"/>
      <c r="C247" s="8" t="n"/>
      <c r="D247" s="21" t="n"/>
      <c r="E247" s="22" t="n"/>
      <c r="F247" s="22">
        <f>IFERROR(+VLOOKUP(D247,Master!B:C,2,0),"")</f>
        <v/>
      </c>
      <c r="G247" s="23" t="n"/>
      <c r="H247" s="23">
        <f>+E247*G247</f>
        <v/>
      </c>
    </row>
    <row r="248">
      <c r="A248" s="8" t="n"/>
      <c r="B248" s="7" t="n"/>
      <c r="C248" s="8" t="n"/>
      <c r="D248" s="21" t="n"/>
      <c r="E248" s="22" t="n"/>
      <c r="F248" s="22">
        <f>IFERROR(+VLOOKUP(D248,Master!B:C,2,0),"")</f>
        <v/>
      </c>
      <c r="G248" s="23" t="n"/>
      <c r="H248" s="23">
        <f>+E248*G248</f>
        <v/>
      </c>
    </row>
    <row r="249">
      <c r="A249" s="8" t="n"/>
      <c r="B249" s="7" t="n"/>
      <c r="C249" s="8" t="n"/>
      <c r="D249" s="21" t="n"/>
      <c r="E249" s="22" t="n"/>
      <c r="F249" s="22">
        <f>IFERROR(+VLOOKUP(D249,Master!B:C,2,0),"")</f>
        <v/>
      </c>
      <c r="G249" s="23" t="n"/>
      <c r="H249" s="23">
        <f>+E249*G249</f>
        <v/>
      </c>
    </row>
    <row r="250">
      <c r="A250" s="8" t="n"/>
      <c r="B250" s="7" t="n"/>
      <c r="C250" s="8" t="n"/>
      <c r="D250" s="21" t="n"/>
      <c r="E250" s="22" t="n"/>
      <c r="F250" s="22">
        <f>IFERROR(+VLOOKUP(D250,Master!B:C,2,0),"")</f>
        <v/>
      </c>
      <c r="G250" s="23" t="n"/>
      <c r="H250" s="23">
        <f>+E250*G250</f>
        <v/>
      </c>
    </row>
    <row r="251">
      <c r="A251" s="8" t="n"/>
      <c r="B251" s="7" t="n"/>
      <c r="C251" s="8" t="n"/>
      <c r="D251" s="21" t="n"/>
      <c r="E251" s="22" t="n"/>
      <c r="F251" s="22">
        <f>IFERROR(+VLOOKUP(D251,Master!B:C,2,0),"")</f>
        <v/>
      </c>
      <c r="G251" s="23" t="n"/>
      <c r="H251" s="23">
        <f>+E251*G251</f>
        <v/>
      </c>
    </row>
    <row r="252">
      <c r="A252" s="8" t="n"/>
      <c r="B252" s="7" t="n"/>
      <c r="C252" s="8" t="n"/>
      <c r="D252" s="21" t="n"/>
      <c r="E252" s="22" t="n"/>
      <c r="F252" s="22">
        <f>IFERROR(+VLOOKUP(D252,Master!B:C,2,0),"")</f>
        <v/>
      </c>
      <c r="G252" s="23" t="n"/>
      <c r="H252" s="23">
        <f>+E252*G252</f>
        <v/>
      </c>
    </row>
    <row r="253">
      <c r="A253" s="8" t="n"/>
      <c r="B253" s="7" t="n"/>
      <c r="C253" s="8" t="n"/>
      <c r="D253" s="21" t="n"/>
      <c r="E253" s="22" t="n"/>
      <c r="F253" s="22">
        <f>IFERROR(+VLOOKUP(D253,Master!B:C,2,0),"")</f>
        <v/>
      </c>
      <c r="G253" s="23" t="n"/>
      <c r="H253" s="23">
        <f>+E253*G253</f>
        <v/>
      </c>
    </row>
    <row r="254">
      <c r="A254" s="8" t="n"/>
      <c r="B254" s="7" t="n"/>
      <c r="C254" s="8" t="n"/>
      <c r="D254" s="21" t="n"/>
      <c r="E254" s="22" t="n"/>
      <c r="F254" s="22">
        <f>IFERROR(+VLOOKUP(D254,Master!B:C,2,0),"")</f>
        <v/>
      </c>
      <c r="G254" s="23" t="n"/>
      <c r="H254" s="23">
        <f>+E254*G254</f>
        <v/>
      </c>
    </row>
    <row r="255">
      <c r="A255" s="8" t="n"/>
      <c r="B255" s="7" t="n"/>
      <c r="C255" s="8" t="n"/>
      <c r="D255" s="21" t="n"/>
      <c r="E255" s="22" t="n"/>
      <c r="F255" s="22">
        <f>IFERROR(+VLOOKUP(D255,Master!B:C,2,0),"")</f>
        <v/>
      </c>
      <c r="G255" s="23" t="n"/>
      <c r="H255" s="23">
        <f>+E255*G255</f>
        <v/>
      </c>
    </row>
    <row r="256">
      <c r="A256" s="8" t="n"/>
      <c r="B256" s="7" t="n"/>
      <c r="C256" s="8" t="n"/>
      <c r="D256" s="21" t="n"/>
      <c r="E256" s="22" t="n"/>
      <c r="F256" s="22">
        <f>IFERROR(+VLOOKUP(D256,Master!B:C,2,0),"")</f>
        <v/>
      </c>
      <c r="G256" s="23" t="n"/>
      <c r="H256" s="23">
        <f>+E256*G256</f>
        <v/>
      </c>
    </row>
    <row r="257">
      <c r="A257" s="8" t="n"/>
      <c r="B257" s="7" t="n"/>
      <c r="C257" s="8" t="n"/>
      <c r="D257" s="21" t="n"/>
      <c r="E257" s="22" t="n"/>
      <c r="F257" s="22">
        <f>IFERROR(+VLOOKUP(D257,Master!B:C,2,0),"")</f>
        <v/>
      </c>
      <c r="G257" s="23" t="n"/>
      <c r="H257" s="23">
        <f>+E257*G257</f>
        <v/>
      </c>
    </row>
    <row r="258">
      <c r="A258" s="8" t="n"/>
      <c r="B258" s="7" t="n"/>
      <c r="C258" s="8" t="n"/>
      <c r="D258" s="21" t="n"/>
      <c r="E258" s="22" t="n"/>
      <c r="F258" s="22">
        <f>IFERROR(+VLOOKUP(D258,Master!B:C,2,0),"")</f>
        <v/>
      </c>
      <c r="G258" s="23" t="n"/>
      <c r="H258" s="23">
        <f>+E258*G258</f>
        <v/>
      </c>
    </row>
    <row r="259">
      <c r="A259" s="8" t="n"/>
      <c r="B259" s="7" t="n"/>
      <c r="C259" s="8" t="n"/>
      <c r="D259" s="21" t="n"/>
      <c r="E259" s="22" t="n"/>
      <c r="F259" s="22">
        <f>IFERROR(+VLOOKUP(D259,Master!B:C,2,0),"")</f>
        <v/>
      </c>
      <c r="G259" s="23" t="n"/>
      <c r="H259" s="23">
        <f>+E259*G259</f>
        <v/>
      </c>
    </row>
    <row r="260">
      <c r="A260" s="8" t="n"/>
      <c r="B260" s="7" t="n"/>
      <c r="C260" s="8" t="n"/>
      <c r="D260" s="21" t="n"/>
      <c r="E260" s="22" t="n"/>
      <c r="F260" s="22">
        <f>IFERROR(+VLOOKUP(D260,Master!B:C,2,0),"")</f>
        <v/>
      </c>
      <c r="G260" s="23" t="n"/>
      <c r="H260" s="23">
        <f>+E260*G260</f>
        <v/>
      </c>
    </row>
    <row r="261">
      <c r="A261" s="8" t="n"/>
      <c r="B261" s="7" t="n"/>
      <c r="C261" s="8" t="n"/>
      <c r="D261" s="21" t="n"/>
      <c r="E261" s="22" t="n"/>
      <c r="F261" s="22">
        <f>IFERROR(+VLOOKUP(D261,Master!B:C,2,0),"")</f>
        <v/>
      </c>
      <c r="G261" s="23" t="n"/>
      <c r="H261" s="23">
        <f>+E261*G261</f>
        <v/>
      </c>
    </row>
    <row r="262">
      <c r="A262" s="8" t="n"/>
      <c r="B262" s="7" t="n"/>
      <c r="C262" s="8" t="n"/>
      <c r="D262" s="21" t="n"/>
      <c r="E262" s="22" t="n"/>
      <c r="F262" s="22">
        <f>IFERROR(+VLOOKUP(D262,Master!B:C,2,0),"")</f>
        <v/>
      </c>
      <c r="G262" s="23" t="n"/>
      <c r="H262" s="23">
        <f>+E262*G262</f>
        <v/>
      </c>
    </row>
    <row r="263">
      <c r="A263" s="8" t="n"/>
      <c r="B263" s="7" t="n"/>
      <c r="C263" s="8" t="n"/>
      <c r="D263" s="21" t="n"/>
      <c r="E263" s="22" t="n"/>
      <c r="F263" s="22">
        <f>IFERROR(+VLOOKUP(D263,Master!B:C,2,0),"")</f>
        <v/>
      </c>
      <c r="G263" s="23" t="n"/>
      <c r="H263" s="23">
        <f>+E263*G263</f>
        <v/>
      </c>
    </row>
    <row r="264">
      <c r="A264" s="8" t="n"/>
      <c r="B264" s="7" t="n"/>
      <c r="C264" s="8" t="n"/>
      <c r="D264" s="21" t="n"/>
      <c r="E264" s="22" t="n"/>
      <c r="F264" s="22">
        <f>IFERROR(+VLOOKUP(D264,Master!B:C,2,0),"")</f>
        <v/>
      </c>
      <c r="G264" s="23" t="n"/>
      <c r="H264" s="23">
        <f>+E264*G264</f>
        <v/>
      </c>
    </row>
    <row r="265">
      <c r="A265" s="8" t="n"/>
      <c r="B265" s="7" t="n"/>
      <c r="C265" s="8" t="n"/>
      <c r="D265" s="21" t="n"/>
      <c r="E265" s="22" t="n"/>
      <c r="F265" s="22">
        <f>IFERROR(+VLOOKUP(D265,Master!B:C,2,0),"")</f>
        <v/>
      </c>
      <c r="G265" s="23" t="n"/>
      <c r="H265" s="23">
        <f>+E265*G265</f>
        <v/>
      </c>
    </row>
    <row r="266">
      <c r="A266" s="8" t="n"/>
      <c r="B266" s="7" t="n"/>
      <c r="C266" s="8" t="n"/>
      <c r="D266" s="21" t="n"/>
      <c r="E266" s="22" t="n"/>
      <c r="F266" s="22">
        <f>IFERROR(+VLOOKUP(D266,Master!B:C,2,0),"")</f>
        <v/>
      </c>
      <c r="G266" s="23" t="n"/>
      <c r="H266" s="23">
        <f>+E266*G266</f>
        <v/>
      </c>
    </row>
    <row r="267">
      <c r="A267" s="8" t="n"/>
      <c r="B267" s="7" t="n"/>
      <c r="C267" s="8" t="n"/>
      <c r="D267" s="21" t="n"/>
      <c r="E267" s="22" t="n"/>
      <c r="F267" s="22">
        <f>IFERROR(+VLOOKUP(D267,Master!B:C,2,0),"")</f>
        <v/>
      </c>
      <c r="G267" s="23" t="n"/>
      <c r="H267" s="23">
        <f>+E267*G267</f>
        <v/>
      </c>
    </row>
    <row r="268">
      <c r="A268" s="8" t="n"/>
      <c r="B268" s="7" t="n"/>
      <c r="C268" s="8" t="n"/>
      <c r="D268" s="21" t="n"/>
      <c r="E268" s="22" t="n"/>
      <c r="F268" s="22">
        <f>IFERROR(+VLOOKUP(D268,Master!B:C,2,0),"")</f>
        <v/>
      </c>
      <c r="G268" s="23" t="n"/>
      <c r="H268" s="23">
        <f>+E268*G268</f>
        <v/>
      </c>
    </row>
    <row r="269">
      <c r="A269" s="8" t="n"/>
      <c r="B269" s="7" t="n"/>
      <c r="C269" s="8" t="n"/>
      <c r="D269" s="21" t="n"/>
      <c r="E269" s="22" t="n"/>
      <c r="F269" s="22">
        <f>IFERROR(+VLOOKUP(D269,Master!B:C,2,0),"")</f>
        <v/>
      </c>
      <c r="G269" s="23" t="n"/>
      <c r="H269" s="23">
        <f>+E269*G269</f>
        <v/>
      </c>
    </row>
    <row r="270">
      <c r="A270" s="8" t="n"/>
      <c r="B270" s="7" t="n"/>
      <c r="C270" s="8" t="n"/>
      <c r="D270" s="21" t="n"/>
      <c r="E270" s="22" t="n"/>
      <c r="F270" s="22">
        <f>IFERROR(+VLOOKUP(D270,Master!B:C,2,0),"")</f>
        <v/>
      </c>
      <c r="G270" s="23" t="n"/>
      <c r="H270" s="23">
        <f>+E270*G270</f>
        <v/>
      </c>
    </row>
    <row r="271">
      <c r="A271" s="8" t="n"/>
      <c r="B271" s="7" t="n"/>
      <c r="C271" s="8" t="n"/>
      <c r="D271" s="21" t="n"/>
      <c r="E271" s="22" t="n"/>
      <c r="F271" s="22">
        <f>IFERROR(+VLOOKUP(D271,Master!B:C,2,0),"")</f>
        <v/>
      </c>
      <c r="G271" s="23" t="n"/>
      <c r="H271" s="23">
        <f>+E271*G271</f>
        <v/>
      </c>
    </row>
    <row r="272">
      <c r="A272" s="8" t="n"/>
      <c r="B272" s="7" t="n"/>
      <c r="C272" s="8" t="n"/>
      <c r="D272" s="21" t="n"/>
      <c r="E272" s="22" t="n"/>
      <c r="F272" s="22">
        <f>IFERROR(+VLOOKUP(D272,Master!B:C,2,0),"")</f>
        <v/>
      </c>
      <c r="G272" s="23" t="n"/>
      <c r="H272" s="23">
        <f>+E272*G272</f>
        <v/>
      </c>
    </row>
    <row r="273">
      <c r="A273" s="8" t="n"/>
      <c r="B273" s="7" t="n"/>
      <c r="C273" s="8" t="n"/>
      <c r="D273" s="21" t="n"/>
      <c r="E273" s="22" t="n"/>
      <c r="F273" s="22">
        <f>IFERROR(+VLOOKUP(D273,Master!B:C,2,0),"")</f>
        <v/>
      </c>
      <c r="G273" s="23" t="n"/>
      <c r="H273" s="23">
        <f>+E273*G273</f>
        <v/>
      </c>
    </row>
    <row r="274">
      <c r="A274" s="8" t="n"/>
      <c r="B274" s="7" t="n"/>
      <c r="C274" s="8" t="n"/>
      <c r="D274" s="21" t="n"/>
      <c r="E274" s="22" t="n"/>
      <c r="F274" s="22">
        <f>IFERROR(+VLOOKUP(D274,Master!B:C,2,0),"")</f>
        <v/>
      </c>
      <c r="G274" s="23" t="n"/>
      <c r="H274" s="23">
        <f>+E274*G274</f>
        <v/>
      </c>
    </row>
    <row r="275">
      <c r="A275" s="8" t="n"/>
      <c r="B275" s="7" t="n"/>
      <c r="C275" s="8" t="n"/>
      <c r="D275" s="21" t="n"/>
      <c r="E275" s="22" t="n"/>
      <c r="F275" s="22">
        <f>IFERROR(+VLOOKUP(D275,Master!B:C,2,0),"")</f>
        <v/>
      </c>
      <c r="G275" s="23" t="n"/>
      <c r="H275" s="23">
        <f>+E275*G275</f>
        <v/>
      </c>
    </row>
    <row r="276">
      <c r="A276" s="8" t="n"/>
      <c r="B276" s="7" t="n"/>
      <c r="C276" s="8" t="n"/>
      <c r="D276" s="21" t="n"/>
      <c r="E276" s="22" t="n"/>
      <c r="F276" s="22">
        <f>IFERROR(+VLOOKUP(D276,Master!B:C,2,0),"")</f>
        <v/>
      </c>
      <c r="G276" s="23" t="n"/>
      <c r="H276" s="23">
        <f>+E276*G276</f>
        <v/>
      </c>
    </row>
    <row r="277">
      <c r="A277" s="8" t="n"/>
      <c r="B277" s="7" t="n"/>
      <c r="C277" s="8" t="n"/>
      <c r="D277" s="21" t="n"/>
      <c r="E277" s="22" t="n"/>
      <c r="F277" s="22">
        <f>IFERROR(+VLOOKUP(D277,Master!B:C,2,0),"")</f>
        <v/>
      </c>
      <c r="G277" s="23" t="n"/>
      <c r="H277" s="23">
        <f>+E277*G277</f>
        <v/>
      </c>
    </row>
    <row r="278">
      <c r="A278" s="8" t="n"/>
      <c r="B278" s="7" t="n"/>
      <c r="C278" s="8" t="n"/>
      <c r="D278" s="21" t="n"/>
      <c r="E278" s="22" t="n"/>
      <c r="F278" s="22">
        <f>IFERROR(+VLOOKUP(D278,Master!B:C,2,0),"")</f>
        <v/>
      </c>
      <c r="G278" s="23" t="n"/>
      <c r="H278" s="23">
        <f>+E278*G278</f>
        <v/>
      </c>
    </row>
    <row r="279">
      <c r="A279" s="8" t="n"/>
      <c r="B279" s="7" t="n"/>
      <c r="C279" s="8" t="n"/>
      <c r="D279" s="21" t="n"/>
      <c r="E279" s="22" t="n"/>
      <c r="F279" s="22">
        <f>IFERROR(+VLOOKUP(D279,Master!B:C,2,0),"")</f>
        <v/>
      </c>
      <c r="G279" s="23" t="n"/>
      <c r="H279" s="23">
        <f>+E279*G279</f>
        <v/>
      </c>
    </row>
    <row r="280">
      <c r="A280" s="8" t="n"/>
      <c r="B280" s="7" t="n"/>
      <c r="C280" s="8" t="n"/>
      <c r="D280" s="21" t="n"/>
      <c r="E280" s="22" t="n"/>
      <c r="F280" s="22">
        <f>IFERROR(+VLOOKUP(D280,Master!B:C,2,0),"")</f>
        <v/>
      </c>
      <c r="G280" s="23" t="n"/>
      <c r="H280" s="23">
        <f>+E280*G280</f>
        <v/>
      </c>
    </row>
    <row r="281">
      <c r="A281" s="8" t="n"/>
      <c r="B281" s="7" t="n"/>
      <c r="C281" s="8" t="n"/>
      <c r="D281" s="21" t="n"/>
      <c r="E281" s="22" t="n"/>
      <c r="F281" s="22">
        <f>IFERROR(+VLOOKUP(D281,Master!B:C,2,0),"")</f>
        <v/>
      </c>
      <c r="G281" s="23" t="n"/>
      <c r="H281" s="23">
        <f>+E281*G281</f>
        <v/>
      </c>
    </row>
    <row r="282">
      <c r="A282" s="8" t="n"/>
      <c r="B282" s="7" t="n"/>
      <c r="C282" s="8" t="n"/>
      <c r="D282" s="21" t="n"/>
      <c r="E282" s="22" t="n"/>
      <c r="F282" s="22">
        <f>IFERROR(+VLOOKUP(D282,Master!B:C,2,0),"")</f>
        <v/>
      </c>
      <c r="G282" s="23" t="n"/>
      <c r="H282" s="23">
        <f>+E282*G282</f>
        <v/>
      </c>
    </row>
    <row r="283">
      <c r="A283" s="8" t="n"/>
      <c r="B283" s="7" t="n"/>
      <c r="C283" s="8" t="n"/>
      <c r="D283" s="21" t="n"/>
      <c r="E283" s="22" t="n"/>
      <c r="F283" s="22">
        <f>IFERROR(+VLOOKUP(D283,Master!B:C,2,0),"")</f>
        <v/>
      </c>
      <c r="G283" s="23" t="n"/>
      <c r="H283" s="23">
        <f>+E283*G283</f>
        <v/>
      </c>
    </row>
    <row r="284">
      <c r="A284" s="8" t="n"/>
      <c r="B284" s="7" t="n"/>
      <c r="C284" s="8" t="n"/>
      <c r="D284" s="21" t="n"/>
      <c r="E284" s="22" t="n"/>
      <c r="F284" s="22">
        <f>IFERROR(+VLOOKUP(D284,Master!B:C,2,0),"")</f>
        <v/>
      </c>
      <c r="G284" s="23" t="n"/>
      <c r="H284" s="23">
        <f>+E284*G284</f>
        <v/>
      </c>
    </row>
    <row r="285">
      <c r="A285" s="8" t="n"/>
      <c r="B285" s="7" t="n"/>
      <c r="C285" s="8" t="n"/>
      <c r="D285" s="21" t="n"/>
      <c r="E285" s="22" t="n"/>
      <c r="F285" s="22">
        <f>IFERROR(+VLOOKUP(D285,Master!B:C,2,0),"")</f>
        <v/>
      </c>
      <c r="G285" s="23" t="n"/>
      <c r="H285" s="23">
        <f>+E285*G285</f>
        <v/>
      </c>
    </row>
    <row r="286">
      <c r="A286" s="8" t="n"/>
      <c r="B286" s="7" t="n"/>
      <c r="C286" s="8" t="n"/>
      <c r="D286" s="21" t="n"/>
      <c r="E286" s="22" t="n"/>
      <c r="F286" s="22">
        <f>IFERROR(+VLOOKUP(D286,Master!B:C,2,0),"")</f>
        <v/>
      </c>
      <c r="G286" s="23" t="n"/>
      <c r="H286" s="23">
        <f>+E286*G286</f>
        <v/>
      </c>
    </row>
    <row r="287">
      <c r="A287" s="8" t="n"/>
      <c r="B287" s="7" t="n"/>
      <c r="C287" s="8" t="n"/>
      <c r="D287" s="21" t="n"/>
      <c r="E287" s="22" t="n"/>
      <c r="F287" s="22">
        <f>IFERROR(+VLOOKUP(D287,Master!B:C,2,0),"")</f>
        <v/>
      </c>
      <c r="G287" s="23" t="n"/>
      <c r="H287" s="23">
        <f>+E287*G287</f>
        <v/>
      </c>
    </row>
    <row r="288">
      <c r="A288" s="8" t="n"/>
      <c r="B288" s="7" t="n"/>
      <c r="C288" s="8" t="n"/>
      <c r="D288" s="21" t="n"/>
      <c r="E288" s="22" t="n"/>
      <c r="F288" s="22">
        <f>IFERROR(+VLOOKUP(D288,Master!B:C,2,0),"")</f>
        <v/>
      </c>
      <c r="G288" s="23" t="n"/>
      <c r="H288" s="23">
        <f>+E288*G288</f>
        <v/>
      </c>
    </row>
    <row r="289">
      <c r="A289" s="8" t="n"/>
      <c r="B289" s="7" t="n"/>
      <c r="C289" s="8" t="n"/>
      <c r="D289" s="21" t="n"/>
      <c r="E289" s="22" t="n"/>
      <c r="F289" s="22">
        <f>IFERROR(+VLOOKUP(D289,Master!B:C,2,0),"")</f>
        <v/>
      </c>
      <c r="G289" s="23" t="n"/>
      <c r="H289" s="23">
        <f>+E289*G289</f>
        <v/>
      </c>
    </row>
    <row r="290">
      <c r="A290" s="8" t="n"/>
      <c r="B290" s="7" t="n"/>
      <c r="C290" s="8" t="n"/>
      <c r="D290" s="21" t="n"/>
      <c r="E290" s="22" t="n"/>
      <c r="F290" s="22">
        <f>IFERROR(+VLOOKUP(D290,Master!B:C,2,0),"")</f>
        <v/>
      </c>
      <c r="G290" s="23" t="n"/>
      <c r="H290" s="23">
        <f>+E290*G290</f>
        <v/>
      </c>
    </row>
    <row r="291">
      <c r="A291" s="8" t="n"/>
      <c r="B291" s="7" t="n"/>
      <c r="C291" s="8" t="n"/>
      <c r="D291" s="21" t="n"/>
      <c r="E291" s="22" t="n"/>
      <c r="F291" s="22">
        <f>IFERROR(+VLOOKUP(D291,Master!B:C,2,0),"")</f>
        <v/>
      </c>
      <c r="G291" s="23" t="n"/>
      <c r="H291" s="23">
        <f>+E291*G291</f>
        <v/>
      </c>
    </row>
    <row r="292">
      <c r="A292" s="8" t="n"/>
      <c r="B292" s="7" t="n"/>
      <c r="C292" s="8" t="n"/>
      <c r="D292" s="21" t="n"/>
      <c r="E292" s="22" t="n"/>
      <c r="F292" s="22">
        <f>IFERROR(+VLOOKUP(D292,Master!B:C,2,0),"")</f>
        <v/>
      </c>
      <c r="G292" s="23" t="n"/>
      <c r="H292" s="23">
        <f>+E292*G292</f>
        <v/>
      </c>
    </row>
    <row r="293">
      <c r="A293" s="8" t="n"/>
      <c r="B293" s="7" t="n"/>
      <c r="C293" s="8" t="n"/>
      <c r="D293" s="21" t="n"/>
      <c r="E293" s="22" t="n"/>
      <c r="F293" s="22">
        <f>IFERROR(+VLOOKUP(D293,Master!B:C,2,0),"")</f>
        <v/>
      </c>
      <c r="G293" s="23" t="n"/>
      <c r="H293" s="23">
        <f>+E293*G293</f>
        <v/>
      </c>
    </row>
    <row r="294">
      <c r="A294" s="8" t="n"/>
      <c r="B294" s="7" t="n"/>
      <c r="C294" s="8" t="n"/>
      <c r="D294" s="21" t="n"/>
      <c r="E294" s="22" t="n"/>
      <c r="F294" s="22">
        <f>IFERROR(+VLOOKUP(D294,Master!B:C,2,0),"")</f>
        <v/>
      </c>
      <c r="G294" s="23" t="n"/>
      <c r="H294" s="23">
        <f>+E294*G294</f>
        <v/>
      </c>
    </row>
    <row r="295">
      <c r="A295" s="8" t="n"/>
      <c r="B295" s="7" t="n"/>
      <c r="C295" s="8" t="n"/>
      <c r="D295" s="21" t="n"/>
      <c r="E295" s="22" t="n"/>
      <c r="F295" s="22">
        <f>IFERROR(+VLOOKUP(D295,Master!B:C,2,0),"")</f>
        <v/>
      </c>
      <c r="G295" s="23" t="n"/>
      <c r="H295" s="23">
        <f>+E295*G295</f>
        <v/>
      </c>
    </row>
    <row r="296">
      <c r="A296" s="8" t="n"/>
      <c r="B296" s="7" t="n"/>
      <c r="C296" s="8" t="n"/>
      <c r="D296" s="21" t="n"/>
      <c r="E296" s="22" t="n"/>
      <c r="F296" s="22">
        <f>IFERROR(+VLOOKUP(D296,Master!B:C,2,0),"")</f>
        <v/>
      </c>
      <c r="G296" s="23" t="n"/>
      <c r="H296" s="23">
        <f>+E296*G296</f>
        <v/>
      </c>
    </row>
    <row r="297">
      <c r="A297" s="8" t="n"/>
      <c r="B297" s="7" t="n"/>
      <c r="C297" s="8" t="n"/>
      <c r="D297" s="21" t="n"/>
      <c r="E297" s="22" t="n"/>
      <c r="F297" s="22">
        <f>IFERROR(+VLOOKUP(D297,Master!B:C,2,0),"")</f>
        <v/>
      </c>
      <c r="G297" s="23" t="n"/>
      <c r="H297" s="23">
        <f>+E297*G297</f>
        <v/>
      </c>
    </row>
    <row r="298">
      <c r="A298" s="8" t="n"/>
      <c r="B298" s="7" t="n"/>
      <c r="C298" s="8" t="n"/>
      <c r="D298" s="21" t="n"/>
      <c r="E298" s="22" t="n"/>
      <c r="F298" s="22">
        <f>IFERROR(+VLOOKUP(D298,Master!B:C,2,0),"")</f>
        <v/>
      </c>
      <c r="G298" s="23" t="n"/>
      <c r="H298" s="23">
        <f>+E298*G298</f>
        <v/>
      </c>
    </row>
    <row r="299">
      <c r="A299" s="8" t="n"/>
      <c r="B299" s="7" t="n"/>
      <c r="C299" s="8" t="n"/>
      <c r="D299" s="21" t="n"/>
      <c r="E299" s="22" t="n"/>
      <c r="F299" s="22">
        <f>IFERROR(+VLOOKUP(D299,Master!B:C,2,0),"")</f>
        <v/>
      </c>
      <c r="G299" s="23" t="n"/>
      <c r="H299" s="23">
        <f>+E299*G299</f>
        <v/>
      </c>
    </row>
    <row r="300">
      <c r="A300" s="8" t="n"/>
      <c r="B300" s="7" t="n"/>
      <c r="C300" s="8" t="n"/>
      <c r="D300" s="21" t="n"/>
      <c r="E300" s="22" t="n"/>
      <c r="F300" s="22">
        <f>IFERROR(+VLOOKUP(D300,Master!B:C,2,0),"")</f>
        <v/>
      </c>
      <c r="G300" s="23" t="n"/>
      <c r="H300" s="23">
        <f>+E300*G300</f>
        <v/>
      </c>
    </row>
    <row r="301">
      <c r="A301" s="8" t="n"/>
      <c r="B301" s="7" t="n"/>
      <c r="C301" s="8" t="n"/>
      <c r="D301" s="21" t="n"/>
      <c r="E301" s="22" t="n"/>
      <c r="F301" s="22">
        <f>IFERROR(+VLOOKUP(D301,Master!B:C,2,0),"")</f>
        <v/>
      </c>
      <c r="G301" s="23" t="n"/>
      <c r="H301" s="23">
        <f>+E301*G301</f>
        <v/>
      </c>
    </row>
    <row r="302">
      <c r="A302" s="8" t="n"/>
      <c r="B302" s="7" t="n"/>
      <c r="C302" s="8" t="n"/>
      <c r="D302" s="21" t="n"/>
      <c r="E302" s="22" t="n"/>
      <c r="F302" s="22">
        <f>IFERROR(+VLOOKUP(D302,Master!B:C,2,0),"")</f>
        <v/>
      </c>
      <c r="G302" s="23" t="n"/>
      <c r="H302" s="23">
        <f>+E302*G302</f>
        <v/>
      </c>
    </row>
    <row r="303">
      <c r="A303" s="8" t="n"/>
      <c r="B303" s="7" t="n"/>
      <c r="C303" s="8" t="n"/>
      <c r="D303" s="21" t="n"/>
      <c r="E303" s="22" t="n"/>
      <c r="F303" s="22">
        <f>IFERROR(+VLOOKUP(D303,Master!B:C,2,0),"")</f>
        <v/>
      </c>
      <c r="G303" s="23" t="n"/>
      <c r="H303" s="23">
        <f>+E303*G303</f>
        <v/>
      </c>
    </row>
    <row r="304">
      <c r="A304" s="8" t="n"/>
      <c r="B304" s="7" t="n"/>
      <c r="C304" s="8" t="n"/>
      <c r="D304" s="21" t="n"/>
      <c r="E304" s="22" t="n"/>
      <c r="F304" s="22">
        <f>IFERROR(+VLOOKUP(D304,Master!B:C,2,0),"")</f>
        <v/>
      </c>
      <c r="G304" s="23" t="n"/>
      <c r="H304" s="23">
        <f>+E304*G304</f>
        <v/>
      </c>
    </row>
    <row r="305">
      <c r="A305" s="8" t="n"/>
      <c r="B305" s="7" t="n"/>
      <c r="C305" s="8" t="n"/>
      <c r="D305" s="21" t="n"/>
      <c r="E305" s="22" t="n"/>
      <c r="F305" s="22">
        <f>IFERROR(+VLOOKUP(D305,Master!B:C,2,0),"")</f>
        <v/>
      </c>
      <c r="G305" s="23" t="n"/>
      <c r="H305" s="23">
        <f>+E305*G305</f>
        <v/>
      </c>
    </row>
    <row r="306">
      <c r="A306" s="8" t="n"/>
      <c r="B306" s="7" t="n"/>
      <c r="C306" s="8" t="n"/>
      <c r="D306" s="21" t="n"/>
      <c r="E306" s="22" t="n"/>
      <c r="F306" s="22">
        <f>IFERROR(+VLOOKUP(D306,Master!B:C,2,0),"")</f>
        <v/>
      </c>
      <c r="G306" s="23" t="n"/>
      <c r="H306" s="23">
        <f>+E306*G306</f>
        <v/>
      </c>
    </row>
    <row r="307">
      <c r="A307" s="8" t="n"/>
      <c r="B307" s="7" t="n"/>
      <c r="C307" s="8" t="n"/>
      <c r="D307" s="21" t="n"/>
      <c r="E307" s="22" t="n"/>
      <c r="F307" s="22">
        <f>IFERROR(+VLOOKUP(D307,Master!B:C,2,0),"")</f>
        <v/>
      </c>
      <c r="G307" s="23" t="n"/>
      <c r="H307" s="23">
        <f>+E307*G307</f>
        <v/>
      </c>
    </row>
    <row r="308">
      <c r="A308" s="8" t="n"/>
      <c r="B308" s="7" t="n"/>
      <c r="C308" s="8" t="n"/>
      <c r="D308" s="21" t="n"/>
      <c r="E308" s="22" t="n"/>
      <c r="F308" s="22">
        <f>IFERROR(+VLOOKUP(D308,Master!B:C,2,0),"")</f>
        <v/>
      </c>
      <c r="G308" s="23" t="n"/>
      <c r="H308" s="23">
        <f>+E308*G308</f>
        <v/>
      </c>
    </row>
    <row r="309">
      <c r="A309" s="8" t="n"/>
      <c r="B309" s="7" t="n"/>
      <c r="C309" s="8" t="n"/>
      <c r="D309" s="21" t="n"/>
      <c r="E309" s="22" t="n"/>
      <c r="F309" s="22">
        <f>IFERROR(+VLOOKUP(D309,Master!B:C,2,0),"")</f>
        <v/>
      </c>
      <c r="G309" s="23" t="n"/>
      <c r="H309" s="23">
        <f>+E309*G309</f>
        <v/>
      </c>
    </row>
    <row r="310">
      <c r="A310" s="8" t="n"/>
      <c r="B310" s="7" t="n"/>
      <c r="C310" s="8" t="n"/>
      <c r="D310" s="21" t="n"/>
      <c r="E310" s="22" t="n"/>
      <c r="F310" s="22">
        <f>IFERROR(+VLOOKUP(D310,Master!B:C,2,0),"")</f>
        <v/>
      </c>
      <c r="G310" s="23" t="n"/>
      <c r="H310" s="23">
        <f>+E310*G310</f>
        <v/>
      </c>
    </row>
    <row r="311">
      <c r="A311" s="8" t="n"/>
      <c r="B311" s="7" t="n"/>
      <c r="C311" s="8" t="n"/>
      <c r="D311" s="21" t="n"/>
      <c r="E311" s="22" t="n"/>
      <c r="F311" s="22">
        <f>IFERROR(+VLOOKUP(D311,Master!B:C,2,0),"")</f>
        <v/>
      </c>
      <c r="G311" s="23" t="n"/>
      <c r="H311" s="23">
        <f>+E311*G311</f>
        <v/>
      </c>
    </row>
    <row r="312">
      <c r="A312" s="8" t="n"/>
      <c r="B312" s="7" t="n"/>
      <c r="C312" s="8" t="n"/>
      <c r="D312" s="21" t="n"/>
      <c r="E312" s="22" t="n"/>
      <c r="F312" s="22">
        <f>IFERROR(+VLOOKUP(D312,Master!B:C,2,0),"")</f>
        <v/>
      </c>
      <c r="G312" s="23" t="n"/>
      <c r="H312" s="23">
        <f>+E312*G312</f>
        <v/>
      </c>
    </row>
    <row r="313">
      <c r="A313" s="8" t="n"/>
      <c r="B313" s="7" t="n"/>
      <c r="C313" s="8" t="n"/>
      <c r="D313" s="21" t="n"/>
      <c r="E313" s="22" t="n"/>
      <c r="F313" s="22">
        <f>IFERROR(+VLOOKUP(D313,Master!B:C,2,0),"")</f>
        <v/>
      </c>
      <c r="G313" s="23" t="n"/>
      <c r="H313" s="23">
        <f>+E313*G313</f>
        <v/>
      </c>
    </row>
    <row r="314">
      <c r="A314" s="8" t="n"/>
      <c r="B314" s="7" t="n"/>
      <c r="C314" s="8" t="n"/>
      <c r="D314" s="21" t="n"/>
      <c r="E314" s="22" t="n"/>
      <c r="F314" s="22">
        <f>IFERROR(+VLOOKUP(D314,Master!B:C,2,0),"")</f>
        <v/>
      </c>
      <c r="G314" s="23" t="n"/>
      <c r="H314" s="23">
        <f>+E314*G314</f>
        <v/>
      </c>
    </row>
    <row r="315">
      <c r="A315" s="8" t="n"/>
      <c r="B315" s="7" t="n"/>
      <c r="C315" s="8" t="n"/>
      <c r="D315" s="21" t="n"/>
      <c r="E315" s="22" t="n"/>
      <c r="F315" s="22">
        <f>IFERROR(+VLOOKUP(D315,Master!B:C,2,0),"")</f>
        <v/>
      </c>
      <c r="G315" s="23" t="n"/>
      <c r="H315" s="23">
        <f>+E315*G315</f>
        <v/>
      </c>
    </row>
    <row r="316">
      <c r="A316" s="8" t="n"/>
      <c r="B316" s="7" t="n"/>
      <c r="C316" s="8" t="n"/>
      <c r="D316" s="21" t="n"/>
      <c r="E316" s="22" t="n"/>
      <c r="F316" s="22">
        <f>IFERROR(+VLOOKUP(D316,Master!B:C,2,0),"")</f>
        <v/>
      </c>
      <c r="G316" s="23" t="n"/>
      <c r="H316" s="23">
        <f>+E316*G316</f>
        <v/>
      </c>
    </row>
    <row r="317">
      <c r="A317" s="8" t="n"/>
      <c r="B317" s="7" t="n"/>
      <c r="C317" s="8" t="n"/>
      <c r="D317" s="21" t="n"/>
      <c r="E317" s="22" t="n"/>
      <c r="F317" s="22">
        <f>IFERROR(+VLOOKUP(D317,Master!B:C,2,0),"")</f>
        <v/>
      </c>
      <c r="G317" s="23" t="n"/>
      <c r="H317" s="23">
        <f>+E317*G317</f>
        <v/>
      </c>
    </row>
    <row r="318">
      <c r="A318" s="8" t="n"/>
      <c r="B318" s="7" t="n"/>
      <c r="C318" s="8" t="n"/>
      <c r="D318" s="21" t="n"/>
      <c r="E318" s="22" t="n"/>
      <c r="F318" s="22">
        <f>IFERROR(+VLOOKUP(D318,Master!B:C,2,0),"")</f>
        <v/>
      </c>
      <c r="G318" s="23" t="n"/>
      <c r="H318" s="23">
        <f>+E318*G318</f>
        <v/>
      </c>
    </row>
    <row r="319">
      <c r="A319" s="8" t="n"/>
      <c r="B319" s="7" t="n"/>
      <c r="C319" s="8" t="n"/>
      <c r="D319" s="21" t="n"/>
      <c r="E319" s="22" t="n"/>
      <c r="F319" s="22">
        <f>IFERROR(+VLOOKUP(D319,Master!B:C,2,0),"")</f>
        <v/>
      </c>
      <c r="G319" s="23" t="n"/>
      <c r="H319" s="23">
        <f>+E319*G319</f>
        <v/>
      </c>
    </row>
    <row r="320">
      <c r="A320" s="8" t="n"/>
      <c r="B320" s="7" t="n"/>
      <c r="C320" s="8" t="n"/>
      <c r="D320" s="21" t="n"/>
      <c r="E320" s="22" t="n"/>
      <c r="F320" s="22">
        <f>IFERROR(+VLOOKUP(D320,Master!B:C,2,0),"")</f>
        <v/>
      </c>
      <c r="G320" s="23" t="n"/>
      <c r="H320" s="23">
        <f>+E320*G320</f>
        <v/>
      </c>
    </row>
    <row r="321">
      <c r="A321" s="8" t="n"/>
      <c r="B321" s="7" t="n"/>
      <c r="C321" s="8" t="n"/>
      <c r="D321" s="21" t="n"/>
      <c r="E321" s="22" t="n"/>
      <c r="F321" s="22">
        <f>IFERROR(+VLOOKUP(D321,Master!B:C,2,0),"")</f>
        <v/>
      </c>
      <c r="G321" s="23" t="n"/>
      <c r="H321" s="23">
        <f>+E321*G321</f>
        <v/>
      </c>
    </row>
    <row r="322">
      <c r="A322" s="8" t="n"/>
      <c r="B322" s="7" t="n"/>
      <c r="C322" s="8" t="n"/>
      <c r="D322" s="21" t="n"/>
      <c r="E322" s="22" t="n"/>
      <c r="F322" s="22">
        <f>IFERROR(+VLOOKUP(D322,Master!B:C,2,0),"")</f>
        <v/>
      </c>
      <c r="G322" s="23" t="n"/>
      <c r="H322" s="23">
        <f>+E322*G322</f>
        <v/>
      </c>
    </row>
    <row r="323">
      <c r="A323" s="8" t="n"/>
      <c r="B323" s="7" t="n"/>
      <c r="C323" s="8" t="n"/>
      <c r="D323" s="21" t="n"/>
      <c r="E323" s="22" t="n"/>
      <c r="F323" s="22">
        <f>IFERROR(+VLOOKUP(D323,Master!B:C,2,0),"")</f>
        <v/>
      </c>
      <c r="G323" s="23" t="n"/>
      <c r="H323" s="23">
        <f>+E323*G323</f>
        <v/>
      </c>
    </row>
    <row r="324">
      <c r="A324" s="8" t="n"/>
      <c r="B324" s="7" t="n"/>
      <c r="C324" s="8" t="n"/>
      <c r="D324" s="21" t="n"/>
      <c r="E324" s="22" t="n"/>
      <c r="F324" s="22">
        <f>IFERROR(+VLOOKUP(D324,Master!B:C,2,0),"")</f>
        <v/>
      </c>
      <c r="G324" s="23" t="n"/>
      <c r="H324" s="23">
        <f>+E324*G324</f>
        <v/>
      </c>
    </row>
    <row r="325">
      <c r="A325" s="8" t="n"/>
      <c r="B325" s="7" t="n"/>
      <c r="C325" s="8" t="n"/>
      <c r="D325" s="21" t="n"/>
      <c r="E325" s="22" t="n"/>
      <c r="F325" s="22">
        <f>IFERROR(+VLOOKUP(D325,Master!B:C,2,0),"")</f>
        <v/>
      </c>
      <c r="G325" s="23" t="n"/>
      <c r="H325" s="23">
        <f>+E325*G325</f>
        <v/>
      </c>
    </row>
    <row r="326">
      <c r="A326" s="8" t="n"/>
      <c r="B326" s="7" t="n"/>
      <c r="C326" s="8" t="n"/>
      <c r="D326" s="21" t="n"/>
      <c r="E326" s="22" t="n"/>
      <c r="F326" s="22">
        <f>IFERROR(+VLOOKUP(D326,Master!B:C,2,0),"")</f>
        <v/>
      </c>
      <c r="G326" s="23" t="n"/>
      <c r="H326" s="23">
        <f>+E326*G326</f>
        <v/>
      </c>
    </row>
    <row r="327">
      <c r="A327" s="8" t="n"/>
      <c r="B327" s="7" t="n"/>
      <c r="C327" s="8" t="n"/>
      <c r="D327" s="21" t="n"/>
      <c r="E327" s="22" t="n"/>
      <c r="F327" s="22">
        <f>IFERROR(+VLOOKUP(D327,Master!B:C,2,0),"")</f>
        <v/>
      </c>
      <c r="G327" s="23" t="n"/>
      <c r="H327" s="23">
        <f>+E327*G327</f>
        <v/>
      </c>
    </row>
    <row r="328">
      <c r="A328" s="8" t="n"/>
      <c r="B328" s="7" t="n"/>
      <c r="C328" s="8" t="n"/>
      <c r="D328" s="21" t="n"/>
      <c r="E328" s="22" t="n"/>
      <c r="F328" s="22">
        <f>IFERROR(+VLOOKUP(D328,Master!B:C,2,0),"")</f>
        <v/>
      </c>
      <c r="G328" s="23" t="n"/>
      <c r="H328" s="23">
        <f>+E328*G328</f>
        <v/>
      </c>
    </row>
    <row r="329">
      <c r="A329" s="8" t="n"/>
      <c r="B329" s="7" t="n"/>
      <c r="C329" s="8" t="n"/>
      <c r="D329" s="21" t="n"/>
      <c r="E329" s="22" t="n"/>
      <c r="F329" s="22">
        <f>IFERROR(+VLOOKUP(D329,Master!B:C,2,0),"")</f>
        <v/>
      </c>
      <c r="G329" s="23" t="n"/>
      <c r="H329" s="23">
        <f>+E329*G329</f>
        <v/>
      </c>
    </row>
    <row r="330">
      <c r="A330" s="8" t="n"/>
      <c r="B330" s="7" t="n"/>
      <c r="C330" s="8" t="n"/>
      <c r="D330" s="21" t="n"/>
      <c r="E330" s="22" t="n"/>
      <c r="F330" s="22">
        <f>IFERROR(+VLOOKUP(D330,Master!B:C,2,0),"")</f>
        <v/>
      </c>
      <c r="G330" s="23" t="n"/>
      <c r="H330" s="23">
        <f>+E330*G330</f>
        <v/>
      </c>
    </row>
    <row r="331">
      <c r="A331" s="8" t="n"/>
      <c r="B331" s="7" t="n"/>
      <c r="C331" s="8" t="n"/>
      <c r="D331" s="21" t="n"/>
      <c r="E331" s="22" t="n"/>
      <c r="F331" s="22">
        <f>IFERROR(+VLOOKUP(D331,Master!B:C,2,0),"")</f>
        <v/>
      </c>
      <c r="G331" s="23" t="n"/>
      <c r="H331" s="23">
        <f>+E331*G331</f>
        <v/>
      </c>
    </row>
    <row r="332">
      <c r="A332" s="8" t="n"/>
      <c r="B332" s="7" t="n"/>
      <c r="C332" s="8" t="n"/>
      <c r="D332" s="21" t="n"/>
      <c r="E332" s="22" t="n"/>
      <c r="F332" s="22">
        <f>IFERROR(+VLOOKUP(D332,Master!B:C,2,0),"")</f>
        <v/>
      </c>
      <c r="G332" s="23" t="n"/>
      <c r="H332" s="23">
        <f>+E332*G332</f>
        <v/>
      </c>
    </row>
    <row r="333">
      <c r="A333" s="8" t="n"/>
      <c r="B333" s="7" t="n"/>
      <c r="C333" s="8" t="n"/>
      <c r="D333" s="21" t="n"/>
      <c r="E333" s="22" t="n"/>
      <c r="F333" s="22">
        <f>IFERROR(+VLOOKUP(D333,Master!B:C,2,0),"")</f>
        <v/>
      </c>
      <c r="G333" s="23" t="n"/>
      <c r="H333" s="23">
        <f>+E333*G333</f>
        <v/>
      </c>
    </row>
    <row r="334">
      <c r="A334" s="8" t="n"/>
      <c r="B334" s="7" t="n"/>
      <c r="C334" s="8" t="n"/>
      <c r="D334" s="21" t="n"/>
      <c r="E334" s="22" t="n"/>
      <c r="F334" s="22">
        <f>IFERROR(+VLOOKUP(D334,Master!B:C,2,0),"")</f>
        <v/>
      </c>
      <c r="G334" s="23" t="n"/>
      <c r="H334" s="23">
        <f>+E334*G334</f>
        <v/>
      </c>
    </row>
    <row r="335">
      <c r="A335" s="8" t="n"/>
      <c r="B335" s="7" t="n"/>
      <c r="C335" s="8" t="n"/>
      <c r="D335" s="21" t="n"/>
      <c r="E335" s="22" t="n"/>
      <c r="F335" s="22">
        <f>IFERROR(+VLOOKUP(D335,Master!B:C,2,0),"")</f>
        <v/>
      </c>
      <c r="G335" s="23" t="n"/>
      <c r="H335" s="23">
        <f>+E335*G335</f>
        <v/>
      </c>
    </row>
    <row r="336">
      <c r="A336" s="8" t="n"/>
      <c r="B336" s="7" t="n"/>
      <c r="C336" s="8" t="n"/>
      <c r="D336" s="21" t="n"/>
      <c r="E336" s="22" t="n"/>
      <c r="F336" s="22">
        <f>IFERROR(+VLOOKUP(D336,Master!B:C,2,0),"")</f>
        <v/>
      </c>
      <c r="G336" s="23" t="n"/>
      <c r="H336" s="23">
        <f>+E336*G336</f>
        <v/>
      </c>
    </row>
    <row r="337">
      <c r="A337" s="8" t="n"/>
      <c r="B337" s="7" t="n"/>
      <c r="C337" s="8" t="n"/>
      <c r="D337" s="21" t="n"/>
      <c r="E337" s="22" t="n"/>
      <c r="F337" s="22">
        <f>IFERROR(+VLOOKUP(D337,Master!B:C,2,0),"")</f>
        <v/>
      </c>
      <c r="G337" s="23" t="n"/>
      <c r="H337" s="23">
        <f>+E337*G337</f>
        <v/>
      </c>
    </row>
    <row r="338">
      <c r="A338" s="8" t="n"/>
      <c r="B338" s="7" t="n"/>
      <c r="C338" s="8" t="n"/>
      <c r="D338" s="21" t="n"/>
      <c r="E338" s="22" t="n"/>
      <c r="F338" s="22">
        <f>IFERROR(+VLOOKUP(D338,Master!B:C,2,0),"")</f>
        <v/>
      </c>
      <c r="G338" s="23" t="n"/>
      <c r="H338" s="23">
        <f>+E338*G338</f>
        <v/>
      </c>
    </row>
    <row r="339">
      <c r="A339" s="8" t="n"/>
      <c r="B339" s="7" t="n"/>
      <c r="C339" s="8" t="n"/>
      <c r="D339" s="21" t="n"/>
      <c r="E339" s="22" t="n"/>
      <c r="F339" s="22">
        <f>IFERROR(+VLOOKUP(D339,Master!B:C,2,0),"")</f>
        <v/>
      </c>
      <c r="G339" s="23" t="n"/>
      <c r="H339" s="23">
        <f>+E339*G339</f>
        <v/>
      </c>
    </row>
    <row r="340">
      <c r="A340" s="8" t="n"/>
      <c r="B340" s="7" t="n"/>
      <c r="C340" s="8" t="n"/>
      <c r="D340" s="21" t="n"/>
      <c r="E340" s="22" t="n"/>
      <c r="F340" s="22">
        <f>IFERROR(+VLOOKUP(D340,Master!B:C,2,0),"")</f>
        <v/>
      </c>
      <c r="G340" s="23" t="n"/>
      <c r="H340" s="23">
        <f>+E340*G340</f>
        <v/>
      </c>
    </row>
    <row r="341">
      <c r="A341" s="8" t="n"/>
      <c r="B341" s="7" t="n"/>
      <c r="C341" s="8" t="n"/>
      <c r="D341" s="21" t="n"/>
      <c r="E341" s="22" t="n"/>
      <c r="F341" s="22">
        <f>IFERROR(+VLOOKUP(D341,Master!B:C,2,0),"")</f>
        <v/>
      </c>
      <c r="G341" s="23" t="n"/>
      <c r="H341" s="23">
        <f>+E341*G341</f>
        <v/>
      </c>
    </row>
    <row r="342">
      <c r="A342" s="8" t="n"/>
      <c r="B342" s="7" t="n"/>
      <c r="C342" s="8" t="n"/>
      <c r="D342" s="21" t="n"/>
      <c r="E342" s="22" t="n"/>
      <c r="F342" s="22">
        <f>IFERROR(+VLOOKUP(D342,Master!B:C,2,0),"")</f>
        <v/>
      </c>
      <c r="G342" s="23" t="n"/>
      <c r="H342" s="23">
        <f>+E342*G342</f>
        <v/>
      </c>
    </row>
    <row r="343">
      <c r="A343" s="8" t="n"/>
      <c r="B343" s="7" t="n"/>
      <c r="C343" s="8" t="n"/>
      <c r="D343" s="21" t="n"/>
      <c r="E343" s="22" t="n"/>
      <c r="F343" s="22">
        <f>IFERROR(+VLOOKUP(D343,Master!B:C,2,0),"")</f>
        <v/>
      </c>
      <c r="G343" s="23" t="n"/>
      <c r="H343" s="23">
        <f>+E343*G343</f>
        <v/>
      </c>
    </row>
    <row r="344">
      <c r="A344" s="8" t="n"/>
      <c r="B344" s="7" t="n"/>
      <c r="C344" s="8" t="n"/>
      <c r="D344" s="21" t="n"/>
      <c r="E344" s="22" t="n"/>
      <c r="F344" s="22">
        <f>IFERROR(+VLOOKUP(D344,Master!B:C,2,0),"")</f>
        <v/>
      </c>
      <c r="G344" s="23" t="n"/>
      <c r="H344" s="23">
        <f>+E344*G344</f>
        <v/>
      </c>
    </row>
    <row r="345">
      <c r="A345" s="8" t="n"/>
      <c r="B345" s="7" t="n"/>
      <c r="C345" s="8" t="n"/>
      <c r="D345" s="21" t="n"/>
      <c r="E345" s="22" t="n"/>
      <c r="F345" s="22">
        <f>IFERROR(+VLOOKUP(D345,Master!B:C,2,0),"")</f>
        <v/>
      </c>
      <c r="G345" s="23" t="n"/>
      <c r="H345" s="23">
        <f>+E345*G345</f>
        <v/>
      </c>
    </row>
    <row r="346">
      <c r="A346" s="8" t="n"/>
      <c r="B346" s="7" t="n"/>
      <c r="C346" s="8" t="n"/>
      <c r="D346" s="21" t="n"/>
      <c r="E346" s="22" t="n"/>
      <c r="F346" s="22">
        <f>IFERROR(+VLOOKUP(D346,Master!B:C,2,0),"")</f>
        <v/>
      </c>
      <c r="G346" s="23" t="n"/>
      <c r="H346" s="23">
        <f>+E346*G346</f>
        <v/>
      </c>
    </row>
    <row r="347">
      <c r="A347" s="8" t="n"/>
      <c r="B347" s="7" t="n"/>
      <c r="C347" s="8" t="n"/>
      <c r="D347" s="21" t="n"/>
      <c r="E347" s="22" t="n"/>
      <c r="F347" s="22">
        <f>IFERROR(+VLOOKUP(D347,Master!B:C,2,0),"")</f>
        <v/>
      </c>
      <c r="G347" s="23" t="n"/>
      <c r="H347" s="23">
        <f>+E347*G347</f>
        <v/>
      </c>
    </row>
    <row r="348">
      <c r="A348" s="8" t="n"/>
      <c r="B348" s="7" t="n"/>
      <c r="C348" s="8" t="n"/>
      <c r="D348" s="21" t="n"/>
      <c r="E348" s="22" t="n"/>
      <c r="F348" s="22">
        <f>IFERROR(+VLOOKUP(D348,Master!B:C,2,0),"")</f>
        <v/>
      </c>
      <c r="G348" s="23" t="n"/>
      <c r="H348" s="23">
        <f>+E348*G348</f>
        <v/>
      </c>
    </row>
    <row r="349">
      <c r="A349" s="8" t="n"/>
      <c r="B349" s="7" t="n"/>
      <c r="C349" s="8" t="n"/>
      <c r="D349" s="21" t="n"/>
      <c r="E349" s="22" t="n"/>
      <c r="F349" s="22">
        <f>IFERROR(+VLOOKUP(D349,Master!B:C,2,0),"")</f>
        <v/>
      </c>
      <c r="G349" s="23" t="n"/>
      <c r="H349" s="23">
        <f>+E349*G349</f>
        <v/>
      </c>
    </row>
    <row r="350">
      <c r="A350" s="8" t="n"/>
      <c r="B350" s="7" t="n"/>
      <c r="C350" s="8" t="n"/>
      <c r="D350" s="21" t="n"/>
      <c r="E350" s="22" t="n"/>
      <c r="F350" s="22">
        <f>IFERROR(+VLOOKUP(D350,Master!B:C,2,0),"")</f>
        <v/>
      </c>
      <c r="G350" s="23" t="n"/>
      <c r="H350" s="23">
        <f>+E350*G350</f>
        <v/>
      </c>
    </row>
    <row r="351">
      <c r="A351" s="8" t="n"/>
      <c r="B351" s="7" t="n"/>
      <c r="C351" s="8" t="n"/>
      <c r="D351" s="21" t="n"/>
      <c r="E351" s="22" t="n"/>
      <c r="F351" s="22">
        <f>IFERROR(+VLOOKUP(D351,Master!B:C,2,0),"")</f>
        <v/>
      </c>
      <c r="G351" s="23" t="n"/>
      <c r="H351" s="23">
        <f>+E351*G351</f>
        <v/>
      </c>
    </row>
    <row r="352">
      <c r="A352" s="8" t="n"/>
      <c r="B352" s="7" t="n"/>
      <c r="C352" s="8" t="n"/>
      <c r="D352" s="21" t="n"/>
      <c r="E352" s="22" t="n"/>
      <c r="F352" s="22">
        <f>IFERROR(+VLOOKUP(D352,Master!B:C,2,0),"")</f>
        <v/>
      </c>
      <c r="G352" s="23" t="n"/>
      <c r="H352" s="23">
        <f>+E352*G352</f>
        <v/>
      </c>
    </row>
    <row r="353">
      <c r="A353" s="8" t="n"/>
      <c r="B353" s="7" t="n"/>
      <c r="C353" s="8" t="n"/>
      <c r="D353" s="21" t="n"/>
      <c r="E353" s="22" t="n"/>
      <c r="F353" s="22">
        <f>IFERROR(+VLOOKUP(D353,Master!B:C,2,0),"")</f>
        <v/>
      </c>
      <c r="G353" s="23" t="n"/>
      <c r="H353" s="23">
        <f>+E353*G353</f>
        <v/>
      </c>
    </row>
    <row r="354">
      <c r="A354" s="8" t="n"/>
      <c r="B354" s="7" t="n"/>
      <c r="C354" s="8" t="n"/>
      <c r="D354" s="21" t="n"/>
      <c r="E354" s="22" t="n"/>
      <c r="F354" s="22">
        <f>IFERROR(+VLOOKUP(D354,Master!B:C,2,0),"")</f>
        <v/>
      </c>
      <c r="G354" s="23" t="n"/>
      <c r="H354" s="23">
        <f>+E354*G354</f>
        <v/>
      </c>
    </row>
    <row r="355">
      <c r="A355" s="8" t="n"/>
      <c r="B355" s="7" t="n"/>
      <c r="C355" s="8" t="n"/>
      <c r="D355" s="21" t="n"/>
      <c r="E355" s="22" t="n"/>
      <c r="F355" s="22">
        <f>IFERROR(+VLOOKUP(D355,Master!B:C,2,0),"")</f>
        <v/>
      </c>
      <c r="G355" s="23" t="n"/>
      <c r="H355" s="23">
        <f>+E355*G355</f>
        <v/>
      </c>
    </row>
    <row r="356">
      <c r="A356" s="8" t="n"/>
      <c r="B356" s="7" t="n"/>
      <c r="C356" s="8" t="n"/>
      <c r="D356" s="21" t="n"/>
      <c r="E356" s="22" t="n"/>
      <c r="F356" s="22">
        <f>IFERROR(+VLOOKUP(D356,Master!B:C,2,0),"")</f>
        <v/>
      </c>
      <c r="G356" s="23" t="n"/>
      <c r="H356" s="23">
        <f>+E356*G356</f>
        <v/>
      </c>
    </row>
    <row r="357">
      <c r="A357" s="8" t="n"/>
      <c r="B357" s="7" t="n"/>
      <c r="C357" s="8" t="n"/>
      <c r="D357" s="21" t="n"/>
      <c r="E357" s="22" t="n"/>
      <c r="F357" s="22">
        <f>IFERROR(+VLOOKUP(D357,Master!B:C,2,0),"")</f>
        <v/>
      </c>
      <c r="G357" s="23" t="n"/>
      <c r="H357" s="23">
        <f>+E357*G357</f>
        <v/>
      </c>
    </row>
    <row r="358">
      <c r="A358" s="8" t="n"/>
      <c r="B358" s="7" t="n"/>
      <c r="C358" s="8" t="n"/>
      <c r="D358" s="21" t="n"/>
      <c r="E358" s="22" t="n"/>
      <c r="F358" s="22">
        <f>IFERROR(+VLOOKUP(D358,Master!B:C,2,0),"")</f>
        <v/>
      </c>
      <c r="G358" s="23" t="n"/>
      <c r="H358" s="23">
        <f>+E358*G358</f>
        <v/>
      </c>
    </row>
    <row r="359">
      <c r="A359" s="8" t="n"/>
      <c r="B359" s="7" t="n"/>
      <c r="C359" s="8" t="n"/>
      <c r="D359" s="21" t="n"/>
      <c r="E359" s="22" t="n"/>
      <c r="F359" s="22">
        <f>IFERROR(+VLOOKUP(D359,Master!B:C,2,0),"")</f>
        <v/>
      </c>
      <c r="G359" s="23" t="n"/>
      <c r="H359" s="23">
        <f>+E359*G359</f>
        <v/>
      </c>
    </row>
    <row r="360">
      <c r="A360" s="8" t="n"/>
      <c r="B360" s="7" t="n"/>
      <c r="C360" s="8" t="n"/>
      <c r="D360" s="21" t="n"/>
      <c r="E360" s="22" t="n"/>
      <c r="F360" s="22">
        <f>IFERROR(+VLOOKUP(D360,Master!B:C,2,0),"")</f>
        <v/>
      </c>
      <c r="G360" s="23" t="n"/>
      <c r="H360" s="23">
        <f>+E360*G360</f>
        <v/>
      </c>
    </row>
    <row r="361">
      <c r="A361" s="8" t="n"/>
      <c r="B361" s="7" t="n"/>
      <c r="C361" s="8" t="n"/>
      <c r="D361" s="21" t="n"/>
      <c r="E361" s="22" t="n"/>
      <c r="F361" s="22">
        <f>IFERROR(+VLOOKUP(D361,Master!B:C,2,0),"")</f>
        <v/>
      </c>
      <c r="G361" s="23" t="n"/>
      <c r="H361" s="23">
        <f>+E361*G361</f>
        <v/>
      </c>
    </row>
    <row r="362">
      <c r="A362" s="8" t="n"/>
      <c r="B362" s="7" t="n"/>
      <c r="C362" s="8" t="n"/>
      <c r="D362" s="21" t="n"/>
      <c r="E362" s="22" t="n"/>
      <c r="F362" s="22">
        <f>IFERROR(+VLOOKUP(D362,Master!B:C,2,0),"")</f>
        <v/>
      </c>
      <c r="G362" s="23" t="n"/>
      <c r="H362" s="23">
        <f>+E362*G362</f>
        <v/>
      </c>
    </row>
    <row r="363">
      <c r="A363" s="8" t="n"/>
      <c r="B363" s="7" t="n"/>
      <c r="C363" s="8" t="n"/>
      <c r="D363" s="21" t="n"/>
      <c r="E363" s="22" t="n"/>
      <c r="F363" s="22">
        <f>IFERROR(+VLOOKUP(D363,Master!B:C,2,0),"")</f>
        <v/>
      </c>
      <c r="G363" s="23" t="n"/>
      <c r="H363" s="23">
        <f>+E363*G363</f>
        <v/>
      </c>
    </row>
    <row r="364">
      <c r="A364" s="8" t="n"/>
      <c r="B364" s="7" t="n"/>
      <c r="C364" s="8" t="n"/>
      <c r="D364" s="21" t="n"/>
      <c r="E364" s="22" t="n"/>
      <c r="F364" s="22">
        <f>IFERROR(+VLOOKUP(D364,Master!B:C,2,0),"")</f>
        <v/>
      </c>
      <c r="G364" s="23" t="n"/>
      <c r="H364" s="23">
        <f>+E364*G364</f>
        <v/>
      </c>
    </row>
    <row r="365">
      <c r="A365" s="8" t="n"/>
      <c r="B365" s="7" t="n"/>
      <c r="C365" s="8" t="n"/>
      <c r="D365" s="21" t="n"/>
      <c r="E365" s="22" t="n"/>
      <c r="F365" s="22">
        <f>IFERROR(+VLOOKUP(D365,Master!B:C,2,0),"")</f>
        <v/>
      </c>
      <c r="G365" s="23" t="n"/>
      <c r="H365" s="23">
        <f>+E365*G365</f>
        <v/>
      </c>
    </row>
    <row r="366">
      <c r="A366" s="8" t="n"/>
      <c r="B366" s="7" t="n"/>
      <c r="C366" s="8" t="n"/>
      <c r="D366" s="21" t="n"/>
      <c r="E366" s="22" t="n"/>
      <c r="F366" s="22">
        <f>IFERROR(+VLOOKUP(D366,Master!B:C,2,0),"")</f>
        <v/>
      </c>
      <c r="G366" s="23" t="n"/>
      <c r="H366" s="23">
        <f>+E366*G366</f>
        <v/>
      </c>
    </row>
    <row r="367">
      <c r="A367" s="8" t="n"/>
      <c r="B367" s="7" t="n"/>
      <c r="C367" s="8" t="n"/>
      <c r="D367" s="21" t="n"/>
      <c r="E367" s="22" t="n"/>
      <c r="F367" s="22">
        <f>IFERROR(+VLOOKUP(D367,Master!B:C,2,0),"")</f>
        <v/>
      </c>
      <c r="G367" s="23" t="n"/>
      <c r="H367" s="23">
        <f>+E367*G367</f>
        <v/>
      </c>
    </row>
    <row r="368">
      <c r="A368" s="8" t="n"/>
      <c r="B368" s="7" t="n"/>
      <c r="C368" s="8" t="n"/>
      <c r="D368" s="21" t="n"/>
      <c r="E368" s="22" t="n"/>
      <c r="F368" s="22">
        <f>IFERROR(+VLOOKUP(D368,Master!B:C,2,0),"")</f>
        <v/>
      </c>
      <c r="G368" s="23" t="n"/>
      <c r="H368" s="23">
        <f>+E368*G368</f>
        <v/>
      </c>
    </row>
    <row r="369">
      <c r="A369" s="8" t="n"/>
      <c r="B369" s="7" t="n"/>
      <c r="C369" s="8" t="n"/>
      <c r="D369" s="21" t="n"/>
      <c r="E369" s="22" t="n"/>
      <c r="F369" s="22">
        <f>IFERROR(+VLOOKUP(D369,Master!B:C,2,0),"")</f>
        <v/>
      </c>
      <c r="G369" s="23" t="n"/>
      <c r="H369" s="23">
        <f>+E369*G369</f>
        <v/>
      </c>
    </row>
    <row r="370">
      <c r="A370" s="8" t="n"/>
      <c r="B370" s="7" t="n"/>
      <c r="C370" s="8" t="n"/>
      <c r="D370" s="21" t="n"/>
      <c r="E370" s="22" t="n"/>
      <c r="F370" s="22">
        <f>IFERROR(+VLOOKUP(D370,Master!B:C,2,0),"")</f>
        <v/>
      </c>
      <c r="G370" s="23" t="n"/>
      <c r="H370" s="23">
        <f>+E370*G370</f>
        <v/>
      </c>
    </row>
    <row r="371">
      <c r="A371" s="8" t="n"/>
      <c r="B371" s="7" t="n"/>
      <c r="C371" s="8" t="n"/>
      <c r="D371" s="21" t="n"/>
      <c r="E371" s="22" t="n"/>
      <c r="F371" s="22">
        <f>IFERROR(+VLOOKUP(D371,Master!B:C,2,0),"")</f>
        <v/>
      </c>
      <c r="G371" s="23" t="n"/>
      <c r="H371" s="23">
        <f>+E371*G371</f>
        <v/>
      </c>
    </row>
    <row r="372">
      <c r="A372" s="8" t="n"/>
      <c r="B372" s="7" t="n"/>
      <c r="C372" s="8" t="n"/>
      <c r="D372" s="21" t="n"/>
      <c r="E372" s="22" t="n"/>
      <c r="F372" s="22">
        <f>IFERROR(+VLOOKUP(D372,Master!B:C,2,0),"")</f>
        <v/>
      </c>
      <c r="G372" s="23" t="n"/>
      <c r="H372" s="23">
        <f>+E372*G372</f>
        <v/>
      </c>
    </row>
    <row r="373">
      <c r="A373" s="8" t="n"/>
      <c r="B373" s="7" t="n"/>
      <c r="C373" s="8" t="n"/>
      <c r="D373" s="21" t="n"/>
      <c r="E373" s="22" t="n"/>
      <c r="F373" s="22">
        <f>IFERROR(+VLOOKUP(D373,Master!B:C,2,0),"")</f>
        <v/>
      </c>
      <c r="G373" s="23" t="n"/>
      <c r="H373" s="23">
        <f>+E373*G373</f>
        <v/>
      </c>
    </row>
    <row r="374">
      <c r="A374" s="8" t="n"/>
      <c r="B374" s="7" t="n"/>
      <c r="C374" s="8" t="n"/>
      <c r="D374" s="21" t="n"/>
      <c r="E374" s="22" t="n"/>
      <c r="F374" s="22">
        <f>IFERROR(+VLOOKUP(D374,Master!B:C,2,0),"")</f>
        <v/>
      </c>
      <c r="G374" s="23" t="n"/>
      <c r="H374" s="23">
        <f>+E374*G374</f>
        <v/>
      </c>
    </row>
    <row r="375">
      <c r="A375" s="8" t="n"/>
      <c r="B375" s="7" t="n"/>
      <c r="C375" s="8" t="n"/>
      <c r="D375" s="21" t="n"/>
      <c r="E375" s="22" t="n"/>
      <c r="F375" s="22">
        <f>IFERROR(+VLOOKUP(D375,Master!B:C,2,0),"")</f>
        <v/>
      </c>
      <c r="G375" s="23" t="n"/>
      <c r="H375" s="23">
        <f>+E375*G375</f>
        <v/>
      </c>
    </row>
    <row r="376">
      <c r="A376" s="8" t="n"/>
      <c r="B376" s="7" t="n"/>
      <c r="C376" s="8" t="n"/>
      <c r="D376" s="21" t="n"/>
      <c r="E376" s="22" t="n"/>
      <c r="F376" s="22">
        <f>IFERROR(+VLOOKUP(D376,Master!B:C,2,0),"")</f>
        <v/>
      </c>
      <c r="G376" s="23" t="n"/>
      <c r="H376" s="23">
        <f>+E376*G376</f>
        <v/>
      </c>
    </row>
    <row r="377">
      <c r="A377" s="8" t="n"/>
      <c r="B377" s="7" t="n"/>
      <c r="C377" s="8" t="n"/>
      <c r="D377" s="21" t="n"/>
      <c r="E377" s="22" t="n"/>
      <c r="F377" s="22">
        <f>IFERROR(+VLOOKUP(D377,Master!B:C,2,0),"")</f>
        <v/>
      </c>
      <c r="G377" s="23" t="n"/>
      <c r="H377" s="23">
        <f>+E377*G377</f>
        <v/>
      </c>
    </row>
    <row r="378">
      <c r="A378" s="8" t="n"/>
      <c r="B378" s="7" t="n"/>
      <c r="C378" s="8" t="n"/>
      <c r="D378" s="21" t="n"/>
      <c r="E378" s="22" t="n"/>
      <c r="F378" s="22">
        <f>IFERROR(+VLOOKUP(D378,Master!B:C,2,0),"")</f>
        <v/>
      </c>
      <c r="G378" s="23" t="n"/>
      <c r="H378" s="23">
        <f>+E378*G378</f>
        <v/>
      </c>
    </row>
    <row r="379">
      <c r="A379" s="8" t="n"/>
      <c r="B379" s="7" t="n"/>
      <c r="C379" s="8" t="n"/>
      <c r="D379" s="21" t="n"/>
      <c r="E379" s="22" t="n"/>
      <c r="F379" s="22">
        <f>IFERROR(+VLOOKUP(D379,Master!B:C,2,0),"")</f>
        <v/>
      </c>
      <c r="G379" s="23" t="n"/>
      <c r="H379" s="23">
        <f>+E379*G379</f>
        <v/>
      </c>
    </row>
    <row r="380">
      <c r="A380" s="8" t="n"/>
      <c r="B380" s="7" t="n"/>
      <c r="C380" s="8" t="n"/>
      <c r="D380" s="21" t="n"/>
      <c r="E380" s="22" t="n"/>
      <c r="F380" s="22">
        <f>IFERROR(+VLOOKUP(D380,Master!B:C,2,0),"")</f>
        <v/>
      </c>
      <c r="G380" s="23" t="n"/>
      <c r="H380" s="23">
        <f>+E380*G380</f>
        <v/>
      </c>
    </row>
    <row r="381">
      <c r="A381" s="8" t="n"/>
      <c r="B381" s="7" t="n"/>
      <c r="C381" s="8" t="n"/>
      <c r="D381" s="21" t="n"/>
      <c r="E381" s="22" t="n"/>
      <c r="F381" s="22">
        <f>IFERROR(+VLOOKUP(D381,Master!B:C,2,0),"")</f>
        <v/>
      </c>
      <c r="G381" s="23" t="n"/>
      <c r="H381" s="23">
        <f>+E381*G381</f>
        <v/>
      </c>
    </row>
    <row r="382">
      <c r="A382" s="8" t="n"/>
      <c r="B382" s="7" t="n"/>
      <c r="C382" s="8" t="n"/>
      <c r="D382" s="21" t="n"/>
      <c r="E382" s="22" t="n"/>
      <c r="F382" s="22">
        <f>IFERROR(+VLOOKUP(D382,Master!B:C,2,0),"")</f>
        <v/>
      </c>
      <c r="G382" s="23" t="n"/>
      <c r="H382" s="23">
        <f>+E382*G382</f>
        <v/>
      </c>
    </row>
    <row r="383">
      <c r="A383" s="8" t="n"/>
      <c r="B383" s="7" t="n"/>
      <c r="C383" s="8" t="n"/>
      <c r="D383" s="21" t="n"/>
      <c r="E383" s="22" t="n"/>
      <c r="F383" s="22">
        <f>IFERROR(+VLOOKUP(D383,Master!B:C,2,0),"")</f>
        <v/>
      </c>
      <c r="G383" s="23" t="n"/>
      <c r="H383" s="23">
        <f>+E383*G383</f>
        <v/>
      </c>
    </row>
    <row r="384">
      <c r="A384" s="8" t="n"/>
      <c r="B384" s="7" t="n"/>
      <c r="C384" s="8" t="n"/>
      <c r="D384" s="21" t="n"/>
      <c r="E384" s="22" t="n"/>
      <c r="F384" s="22">
        <f>IFERROR(+VLOOKUP(D384,Master!B:C,2,0),"")</f>
        <v/>
      </c>
      <c r="G384" s="23" t="n"/>
      <c r="H384" s="23">
        <f>+E384*G384</f>
        <v/>
      </c>
    </row>
    <row r="385">
      <c r="A385" s="8" t="n"/>
      <c r="B385" s="7" t="n"/>
      <c r="C385" s="8" t="n"/>
      <c r="D385" s="21" t="n"/>
      <c r="E385" s="22" t="n"/>
      <c r="F385" s="22">
        <f>IFERROR(+VLOOKUP(D385,Master!B:C,2,0),"")</f>
        <v/>
      </c>
      <c r="G385" s="23" t="n"/>
      <c r="H385" s="23">
        <f>+E385*G385</f>
        <v/>
      </c>
    </row>
    <row r="386">
      <c r="A386" s="8" t="n"/>
      <c r="B386" s="7" t="n"/>
      <c r="C386" s="8" t="n"/>
      <c r="D386" s="21" t="n"/>
      <c r="E386" s="22" t="n"/>
      <c r="F386" s="22">
        <f>IFERROR(+VLOOKUP(D386,Master!B:C,2,0),"")</f>
        <v/>
      </c>
      <c r="G386" s="23" t="n"/>
      <c r="H386" s="23">
        <f>+E386*G386</f>
        <v/>
      </c>
    </row>
    <row r="387">
      <c r="A387" s="8" t="n"/>
      <c r="B387" s="7" t="n"/>
      <c r="C387" s="8" t="n"/>
      <c r="D387" s="21" t="n"/>
      <c r="E387" s="22" t="n"/>
      <c r="F387" s="22">
        <f>IFERROR(+VLOOKUP(D387,Master!B:C,2,0),"")</f>
        <v/>
      </c>
      <c r="G387" s="23" t="n"/>
      <c r="H387" s="23">
        <f>+E387*G387</f>
        <v/>
      </c>
    </row>
    <row r="388">
      <c r="A388" s="8" t="n"/>
      <c r="B388" s="7" t="n"/>
      <c r="C388" s="8" t="n"/>
      <c r="D388" s="21" t="n"/>
      <c r="E388" s="22" t="n"/>
      <c r="F388" s="22">
        <f>IFERROR(+VLOOKUP(D388,Master!B:C,2,0),"")</f>
        <v/>
      </c>
      <c r="G388" s="23" t="n"/>
      <c r="H388" s="23">
        <f>+E388*G388</f>
        <v/>
      </c>
    </row>
    <row r="389">
      <c r="A389" s="8" t="n"/>
      <c r="B389" s="7" t="n"/>
      <c r="C389" s="8" t="n"/>
      <c r="D389" s="21" t="n"/>
      <c r="E389" s="22" t="n"/>
      <c r="F389" s="22">
        <f>IFERROR(+VLOOKUP(D389,Master!B:C,2,0),"")</f>
        <v/>
      </c>
      <c r="G389" s="23" t="n"/>
      <c r="H389" s="23">
        <f>+E389*G389</f>
        <v/>
      </c>
    </row>
    <row r="390">
      <c r="A390" s="8" t="n"/>
      <c r="B390" s="7" t="n"/>
      <c r="C390" s="8" t="n"/>
      <c r="D390" s="21" t="n"/>
      <c r="E390" s="22" t="n"/>
      <c r="F390" s="22">
        <f>IFERROR(+VLOOKUP(D390,Master!B:C,2,0),"")</f>
        <v/>
      </c>
      <c r="G390" s="23" t="n"/>
      <c r="H390" s="23">
        <f>+E390*G390</f>
        <v/>
      </c>
    </row>
    <row r="391">
      <c r="A391" s="8" t="n"/>
      <c r="B391" s="7" t="n"/>
      <c r="C391" s="8" t="n"/>
      <c r="D391" s="21" t="n"/>
      <c r="E391" s="22" t="n"/>
      <c r="F391" s="22">
        <f>IFERROR(+VLOOKUP(D391,Master!B:C,2,0),"")</f>
        <v/>
      </c>
      <c r="G391" s="23" t="n"/>
      <c r="H391" s="23">
        <f>+E391*G391</f>
        <v/>
      </c>
    </row>
    <row r="392">
      <c r="A392" s="8" t="n"/>
      <c r="B392" s="7" t="n"/>
      <c r="C392" s="8" t="n"/>
      <c r="D392" s="21" t="n"/>
      <c r="E392" s="22" t="n"/>
      <c r="F392" s="22">
        <f>IFERROR(+VLOOKUP(D392,Master!B:C,2,0),"")</f>
        <v/>
      </c>
      <c r="G392" s="23" t="n"/>
      <c r="H392" s="23">
        <f>+E392*G392</f>
        <v/>
      </c>
    </row>
    <row r="393">
      <c r="A393" s="8" t="n"/>
      <c r="B393" s="7" t="n"/>
      <c r="C393" s="8" t="n"/>
      <c r="D393" s="21" t="n"/>
      <c r="E393" s="22" t="n"/>
      <c r="F393" s="22">
        <f>IFERROR(+VLOOKUP(D393,Master!B:C,2,0),"")</f>
        <v/>
      </c>
      <c r="G393" s="23" t="n"/>
      <c r="H393" s="23">
        <f>+E393*G393</f>
        <v/>
      </c>
    </row>
    <row r="394">
      <c r="A394" s="8" t="n"/>
      <c r="B394" s="7" t="n"/>
      <c r="C394" s="8" t="n"/>
      <c r="D394" s="21" t="n"/>
      <c r="E394" s="22" t="n"/>
      <c r="F394" s="22">
        <f>IFERROR(+VLOOKUP(D394,Master!B:C,2,0),"")</f>
        <v/>
      </c>
      <c r="G394" s="23" t="n"/>
      <c r="H394" s="23">
        <f>+E394*G394</f>
        <v/>
      </c>
    </row>
    <row r="395">
      <c r="A395" s="8" t="n"/>
      <c r="B395" s="7" t="n"/>
      <c r="C395" s="8" t="n"/>
      <c r="D395" s="21" t="n"/>
      <c r="E395" s="22" t="n"/>
      <c r="F395" s="22">
        <f>IFERROR(+VLOOKUP(D395,Master!B:C,2,0),"")</f>
        <v/>
      </c>
      <c r="G395" s="23" t="n"/>
      <c r="H395" s="23">
        <f>+E395*G395</f>
        <v/>
      </c>
    </row>
    <row r="396">
      <c r="A396" s="8" t="n"/>
      <c r="B396" s="7" t="n"/>
      <c r="C396" s="8" t="n"/>
      <c r="D396" s="21" t="n"/>
      <c r="E396" s="22" t="n"/>
      <c r="F396" s="22">
        <f>IFERROR(+VLOOKUP(D396,Master!B:C,2,0),"")</f>
        <v/>
      </c>
      <c r="G396" s="23" t="n"/>
      <c r="H396" s="23">
        <f>+E396*G396</f>
        <v/>
      </c>
    </row>
    <row r="397">
      <c r="A397" s="8" t="n"/>
      <c r="B397" s="7" t="n"/>
      <c r="C397" s="8" t="n"/>
      <c r="D397" s="21" t="n"/>
      <c r="E397" s="22" t="n"/>
      <c r="F397" s="22">
        <f>IFERROR(+VLOOKUP(D397,Master!B:C,2,0),"")</f>
        <v/>
      </c>
      <c r="G397" s="23" t="n"/>
      <c r="H397" s="23">
        <f>+E397*G397</f>
        <v/>
      </c>
    </row>
    <row r="398">
      <c r="A398" s="8" t="n"/>
      <c r="B398" s="7" t="n"/>
      <c r="C398" s="8" t="n"/>
      <c r="D398" s="21" t="n"/>
      <c r="E398" s="22" t="n"/>
      <c r="F398" s="22">
        <f>IFERROR(+VLOOKUP(D398,Master!B:C,2,0),"")</f>
        <v/>
      </c>
      <c r="G398" s="23" t="n"/>
      <c r="H398" s="23">
        <f>+E398*G398</f>
        <v/>
      </c>
    </row>
    <row r="399">
      <c r="A399" s="8" t="n"/>
      <c r="B399" s="7" t="n"/>
      <c r="C399" s="8" t="n"/>
      <c r="D399" s="21" t="n"/>
      <c r="E399" s="22" t="n"/>
      <c r="F399" s="22">
        <f>IFERROR(+VLOOKUP(D399,Master!B:C,2,0),"")</f>
        <v/>
      </c>
      <c r="G399" s="23" t="n"/>
      <c r="H399" s="23">
        <f>+E399*G399</f>
        <v/>
      </c>
    </row>
    <row r="400">
      <c r="A400" s="8" t="n"/>
      <c r="B400" s="7" t="n"/>
      <c r="C400" s="8" t="n"/>
      <c r="D400" s="21" t="n"/>
      <c r="E400" s="22" t="n"/>
      <c r="F400" s="22">
        <f>IFERROR(+VLOOKUP(D400,Master!B:C,2,0),"")</f>
        <v/>
      </c>
      <c r="G400" s="23" t="n"/>
      <c r="H400" s="23">
        <f>+E400*G400</f>
        <v/>
      </c>
    </row>
    <row r="401">
      <c r="A401" s="8" t="n"/>
      <c r="B401" s="7" t="n"/>
      <c r="C401" s="8" t="n"/>
      <c r="D401" s="21" t="n"/>
      <c r="E401" s="22" t="n"/>
      <c r="F401" s="22">
        <f>IFERROR(+VLOOKUP(D401,Master!B:C,2,0),"")</f>
        <v/>
      </c>
      <c r="G401" s="23" t="n"/>
      <c r="H401" s="23">
        <f>+E401*G401</f>
        <v/>
      </c>
    </row>
    <row r="402">
      <c r="A402" s="8" t="n"/>
      <c r="B402" s="7" t="n"/>
      <c r="C402" s="8" t="n"/>
      <c r="D402" s="21" t="n"/>
      <c r="E402" s="22" t="n"/>
      <c r="F402" s="22">
        <f>IFERROR(+VLOOKUP(D402,Master!B:C,2,0),"")</f>
        <v/>
      </c>
      <c r="G402" s="23" t="n"/>
      <c r="H402" s="23">
        <f>+E402*G402</f>
        <v/>
      </c>
    </row>
    <row r="403">
      <c r="A403" s="8" t="n"/>
      <c r="B403" s="7" t="n"/>
      <c r="C403" s="8" t="n"/>
      <c r="D403" s="21" t="n"/>
      <c r="E403" s="22" t="n"/>
      <c r="F403" s="22">
        <f>IFERROR(+VLOOKUP(D403,Master!B:C,2,0),"")</f>
        <v/>
      </c>
      <c r="G403" s="23" t="n"/>
      <c r="H403" s="23">
        <f>+E403*G403</f>
        <v/>
      </c>
    </row>
    <row r="404">
      <c r="A404" s="8" t="n"/>
      <c r="B404" s="7" t="n"/>
      <c r="C404" s="8" t="n"/>
      <c r="D404" s="21" t="n"/>
      <c r="E404" s="22" t="n"/>
      <c r="F404" s="22">
        <f>IFERROR(+VLOOKUP(D404,Master!B:C,2,0),"")</f>
        <v/>
      </c>
      <c r="G404" s="23" t="n"/>
      <c r="H404" s="23">
        <f>+E404*G404</f>
        <v/>
      </c>
    </row>
    <row r="405">
      <c r="A405" s="8" t="n"/>
      <c r="B405" s="7" t="n"/>
      <c r="C405" s="8" t="n"/>
      <c r="D405" s="21" t="n"/>
      <c r="E405" s="22" t="n"/>
      <c r="F405" s="22">
        <f>IFERROR(+VLOOKUP(D405,Master!B:C,2,0),"")</f>
        <v/>
      </c>
      <c r="G405" s="23" t="n"/>
      <c r="H405" s="23">
        <f>+E405*G405</f>
        <v/>
      </c>
    </row>
    <row r="406">
      <c r="A406" s="8" t="n"/>
      <c r="B406" s="7" t="n"/>
      <c r="C406" s="8" t="n"/>
      <c r="D406" s="21" t="n"/>
      <c r="E406" s="22" t="n"/>
      <c r="F406" s="22">
        <f>IFERROR(+VLOOKUP(D406,Master!B:C,2,0),"")</f>
        <v/>
      </c>
      <c r="G406" s="23" t="n"/>
      <c r="H406" s="23">
        <f>+E406*G406</f>
        <v/>
      </c>
    </row>
    <row r="407">
      <c r="A407" s="8" t="n"/>
      <c r="B407" s="7" t="n"/>
      <c r="C407" s="8" t="n"/>
      <c r="D407" s="21" t="n"/>
      <c r="E407" s="22" t="n"/>
      <c r="F407" s="22">
        <f>IFERROR(+VLOOKUP(D407,Master!B:C,2,0),"")</f>
        <v/>
      </c>
      <c r="G407" s="23" t="n"/>
      <c r="H407" s="23">
        <f>+E407*G407</f>
        <v/>
      </c>
    </row>
    <row r="408">
      <c r="A408" s="8" t="n"/>
      <c r="B408" s="7" t="n"/>
      <c r="C408" s="8" t="n"/>
      <c r="D408" s="21" t="n"/>
      <c r="E408" s="22" t="n"/>
      <c r="F408" s="22">
        <f>IFERROR(+VLOOKUP(D408,Master!B:C,2,0),"")</f>
        <v/>
      </c>
      <c r="G408" s="23" t="n"/>
      <c r="H408" s="23">
        <f>+E408*G408</f>
        <v/>
      </c>
    </row>
    <row r="409">
      <c r="A409" s="8" t="n"/>
      <c r="B409" s="7" t="n"/>
      <c r="C409" s="8" t="n"/>
      <c r="D409" s="21" t="n"/>
      <c r="E409" s="22" t="n"/>
      <c r="F409" s="22">
        <f>IFERROR(+VLOOKUP(D409,Master!B:C,2,0),"")</f>
        <v/>
      </c>
      <c r="G409" s="23" t="n"/>
      <c r="H409" s="23">
        <f>+E409*G409</f>
        <v/>
      </c>
    </row>
    <row r="410">
      <c r="A410" s="8" t="n"/>
      <c r="B410" s="7" t="n"/>
      <c r="C410" s="8" t="n"/>
      <c r="D410" s="21" t="n"/>
      <c r="E410" s="22" t="n"/>
      <c r="F410" s="22">
        <f>IFERROR(+VLOOKUP(D410,Master!B:C,2,0),"")</f>
        <v/>
      </c>
      <c r="G410" s="23" t="n"/>
      <c r="H410" s="23">
        <f>+E410*G410</f>
        <v/>
      </c>
    </row>
    <row r="411">
      <c r="A411" s="8" t="n"/>
      <c r="B411" s="7" t="n"/>
      <c r="C411" s="8" t="n"/>
      <c r="D411" s="21" t="n"/>
      <c r="E411" s="22" t="n"/>
      <c r="F411" s="22">
        <f>IFERROR(+VLOOKUP(D411,Master!B:C,2,0),"")</f>
        <v/>
      </c>
      <c r="G411" s="23" t="n"/>
      <c r="H411" s="23">
        <f>+E411*G411</f>
        <v/>
      </c>
    </row>
    <row r="412">
      <c r="A412" s="8" t="n"/>
      <c r="B412" s="7" t="n"/>
      <c r="C412" s="8" t="n"/>
      <c r="D412" s="21" t="n"/>
      <c r="E412" s="22" t="n"/>
      <c r="F412" s="22">
        <f>IFERROR(+VLOOKUP(D412,Master!B:C,2,0),"")</f>
        <v/>
      </c>
      <c r="G412" s="23" t="n"/>
      <c r="H412" s="23">
        <f>+E412*G412</f>
        <v/>
      </c>
    </row>
    <row r="413">
      <c r="A413" s="8" t="n"/>
      <c r="B413" s="7" t="n"/>
      <c r="C413" s="8" t="n"/>
      <c r="D413" s="21" t="n"/>
      <c r="E413" s="22" t="n"/>
      <c r="F413" s="22">
        <f>IFERROR(+VLOOKUP(D413,Master!B:C,2,0),"")</f>
        <v/>
      </c>
      <c r="G413" s="23" t="n"/>
      <c r="H413" s="23">
        <f>+E413*G413</f>
        <v/>
      </c>
    </row>
    <row r="414">
      <c r="A414" s="8" t="n"/>
      <c r="B414" s="7" t="n"/>
      <c r="C414" s="8" t="n"/>
      <c r="D414" s="21" t="n"/>
      <c r="E414" s="22" t="n"/>
      <c r="F414" s="22">
        <f>IFERROR(+VLOOKUP(D414,Master!B:C,2,0),"")</f>
        <v/>
      </c>
      <c r="G414" s="23" t="n"/>
      <c r="H414" s="23">
        <f>+E414*G414</f>
        <v/>
      </c>
    </row>
    <row r="415">
      <c r="A415" s="8" t="n"/>
      <c r="B415" s="7" t="n"/>
      <c r="C415" s="8" t="n"/>
      <c r="D415" s="21" t="n"/>
      <c r="E415" s="22" t="n"/>
      <c r="F415" s="22">
        <f>IFERROR(+VLOOKUP(D415,Master!B:C,2,0),"")</f>
        <v/>
      </c>
      <c r="G415" s="23" t="n"/>
      <c r="H415" s="23">
        <f>+E415*G415</f>
        <v/>
      </c>
    </row>
    <row r="416">
      <c r="A416" s="8" t="n"/>
      <c r="B416" s="7" t="n"/>
      <c r="C416" s="8" t="n"/>
      <c r="D416" s="21" t="n"/>
      <c r="E416" s="22" t="n"/>
      <c r="F416" s="22">
        <f>IFERROR(+VLOOKUP(D416,Master!B:C,2,0),"")</f>
        <v/>
      </c>
      <c r="G416" s="23" t="n"/>
      <c r="H416" s="23">
        <f>+E416*G416</f>
        <v/>
      </c>
    </row>
    <row r="417">
      <c r="A417" s="8" t="n"/>
      <c r="B417" s="7" t="n"/>
      <c r="C417" s="8" t="n"/>
      <c r="D417" s="21" t="n"/>
      <c r="E417" s="22" t="n"/>
      <c r="F417" s="22">
        <f>IFERROR(+VLOOKUP(D417,Master!B:C,2,0),"")</f>
        <v/>
      </c>
      <c r="G417" s="23" t="n"/>
      <c r="H417" s="23">
        <f>+E417*G417</f>
        <v/>
      </c>
    </row>
    <row r="418">
      <c r="A418" s="8" t="n"/>
      <c r="B418" s="7" t="n"/>
      <c r="C418" s="8" t="n"/>
      <c r="D418" s="21" t="n"/>
      <c r="E418" s="22" t="n"/>
      <c r="F418" s="22">
        <f>IFERROR(+VLOOKUP(D418,Master!B:C,2,0),"")</f>
        <v/>
      </c>
      <c r="G418" s="23" t="n"/>
      <c r="H418" s="23">
        <f>+E418*G418</f>
        <v/>
      </c>
    </row>
    <row r="419">
      <c r="A419" s="8" t="n"/>
      <c r="B419" s="7" t="n"/>
      <c r="C419" s="8" t="n"/>
      <c r="D419" s="21" t="n"/>
      <c r="E419" s="22" t="n"/>
      <c r="F419" s="22">
        <f>IFERROR(+VLOOKUP(D419,Master!B:C,2,0),"")</f>
        <v/>
      </c>
      <c r="G419" s="23" t="n"/>
      <c r="H419" s="23">
        <f>+E419*G419</f>
        <v/>
      </c>
    </row>
    <row r="420">
      <c r="A420" s="8" t="n"/>
      <c r="B420" s="7" t="n"/>
      <c r="C420" s="8" t="n"/>
      <c r="D420" s="21" t="n"/>
      <c r="E420" s="22" t="n"/>
      <c r="F420" s="22">
        <f>IFERROR(+VLOOKUP(D420,Master!B:C,2,0),"")</f>
        <v/>
      </c>
      <c r="G420" s="23" t="n"/>
      <c r="H420" s="23">
        <f>+E420*G420</f>
        <v/>
      </c>
    </row>
    <row r="421">
      <c r="A421" s="8" t="n"/>
      <c r="B421" s="7" t="n"/>
      <c r="C421" s="8" t="n"/>
      <c r="D421" s="21" t="n"/>
      <c r="E421" s="22" t="n"/>
      <c r="F421" s="22">
        <f>IFERROR(+VLOOKUP(D421,Master!B:C,2,0),"")</f>
        <v/>
      </c>
      <c r="G421" s="23" t="n"/>
      <c r="H421" s="23">
        <f>+E421*G421</f>
        <v/>
      </c>
    </row>
    <row r="422">
      <c r="A422" s="8" t="n"/>
      <c r="B422" s="7" t="n"/>
      <c r="C422" s="8" t="n"/>
      <c r="D422" s="21" t="n"/>
      <c r="E422" s="22" t="n"/>
      <c r="F422" s="22">
        <f>IFERROR(+VLOOKUP(D422,Master!B:C,2,0),"")</f>
        <v/>
      </c>
      <c r="G422" s="23" t="n"/>
      <c r="H422" s="23">
        <f>+E422*G422</f>
        <v/>
      </c>
    </row>
    <row r="423">
      <c r="A423" s="8" t="n"/>
      <c r="B423" s="7" t="n"/>
      <c r="C423" s="8" t="n"/>
      <c r="D423" s="21" t="n"/>
      <c r="E423" s="22" t="n"/>
      <c r="F423" s="22">
        <f>IFERROR(+VLOOKUP(D423,Master!B:C,2,0),"")</f>
        <v/>
      </c>
      <c r="G423" s="23" t="n"/>
      <c r="H423" s="23">
        <f>+E423*G423</f>
        <v/>
      </c>
    </row>
    <row r="424">
      <c r="A424" s="8" t="n"/>
      <c r="B424" s="7" t="n"/>
      <c r="C424" s="8" t="n"/>
      <c r="D424" s="21" t="n"/>
      <c r="E424" s="22" t="n"/>
      <c r="F424" s="22">
        <f>IFERROR(+VLOOKUP(D424,Master!B:C,2,0),"")</f>
        <v/>
      </c>
      <c r="G424" s="23" t="n"/>
      <c r="H424" s="23">
        <f>+E424*G424</f>
        <v/>
      </c>
    </row>
    <row r="425">
      <c r="A425" s="8" t="n"/>
      <c r="B425" s="7" t="n"/>
      <c r="C425" s="8" t="n"/>
      <c r="D425" s="21" t="n"/>
      <c r="E425" s="22" t="n"/>
      <c r="F425" s="22">
        <f>IFERROR(+VLOOKUP(D425,Master!B:C,2,0),"")</f>
        <v/>
      </c>
      <c r="G425" s="23" t="n"/>
      <c r="H425" s="23">
        <f>+E425*G425</f>
        <v/>
      </c>
    </row>
    <row r="426">
      <c r="A426" s="8" t="n"/>
      <c r="B426" s="7" t="n"/>
      <c r="C426" s="8" t="n"/>
      <c r="D426" s="21" t="n"/>
      <c r="E426" s="22" t="n"/>
      <c r="F426" s="22">
        <f>IFERROR(+VLOOKUP(D426,Master!B:C,2,0),"")</f>
        <v/>
      </c>
      <c r="G426" s="23" t="n"/>
      <c r="H426" s="23">
        <f>+E426*G426</f>
        <v/>
      </c>
    </row>
    <row r="427">
      <c r="A427" s="8" t="n"/>
      <c r="B427" s="7" t="n"/>
      <c r="C427" s="8" t="n"/>
      <c r="D427" s="21" t="n"/>
      <c r="E427" s="22" t="n"/>
      <c r="F427" s="22">
        <f>IFERROR(+VLOOKUP(D427,Master!B:C,2,0),"")</f>
        <v/>
      </c>
      <c r="G427" s="23" t="n"/>
      <c r="H427" s="23">
        <f>+E427*G427</f>
        <v/>
      </c>
    </row>
    <row r="428">
      <c r="A428" s="8" t="n"/>
      <c r="B428" s="7" t="n"/>
      <c r="C428" s="8" t="n"/>
      <c r="D428" s="21" t="n"/>
      <c r="E428" s="22" t="n"/>
      <c r="F428" s="22">
        <f>IFERROR(+VLOOKUP(D428,Master!B:C,2,0),"")</f>
        <v/>
      </c>
      <c r="G428" s="23" t="n"/>
      <c r="H428" s="23">
        <f>+E428*G428</f>
        <v/>
      </c>
    </row>
    <row r="429">
      <c r="A429" s="8" t="n"/>
      <c r="B429" s="7" t="n"/>
      <c r="C429" s="8" t="n"/>
      <c r="D429" s="21" t="n"/>
      <c r="E429" s="22" t="n"/>
      <c r="F429" s="22">
        <f>IFERROR(+VLOOKUP(D429,Master!B:C,2,0),"")</f>
        <v/>
      </c>
      <c r="G429" s="23" t="n"/>
      <c r="H429" s="23">
        <f>+E429*G429</f>
        <v/>
      </c>
    </row>
    <row r="430">
      <c r="A430" s="8" t="n"/>
      <c r="B430" s="7" t="n"/>
      <c r="C430" s="8" t="n"/>
      <c r="D430" s="21" t="n"/>
      <c r="E430" s="22" t="n"/>
      <c r="F430" s="22">
        <f>IFERROR(+VLOOKUP(D430,Master!B:C,2,0),"")</f>
        <v/>
      </c>
      <c r="G430" s="23" t="n"/>
      <c r="H430" s="23">
        <f>+E430*G430</f>
        <v/>
      </c>
    </row>
    <row r="431">
      <c r="A431" s="8" t="n"/>
      <c r="B431" s="7" t="n"/>
      <c r="C431" s="8" t="n"/>
      <c r="D431" s="21" t="n"/>
      <c r="E431" s="22" t="n"/>
      <c r="F431" s="22">
        <f>IFERROR(+VLOOKUP(D431,Master!B:C,2,0),"")</f>
        <v/>
      </c>
      <c r="G431" s="23" t="n"/>
      <c r="H431" s="23">
        <f>+E431*G431</f>
        <v/>
      </c>
    </row>
    <row r="432">
      <c r="A432" s="8" t="n"/>
      <c r="B432" s="7" t="n"/>
      <c r="C432" s="8" t="n"/>
      <c r="D432" s="21" t="n"/>
      <c r="E432" s="22" t="n"/>
      <c r="F432" s="22">
        <f>IFERROR(+VLOOKUP(D432,Master!B:C,2,0),"")</f>
        <v/>
      </c>
      <c r="G432" s="23" t="n"/>
      <c r="H432" s="23">
        <f>+E432*G432</f>
        <v/>
      </c>
    </row>
    <row r="433">
      <c r="A433" s="8" t="n"/>
      <c r="B433" s="7" t="n"/>
      <c r="C433" s="8" t="n"/>
      <c r="D433" s="21" t="n"/>
      <c r="E433" s="22" t="n"/>
      <c r="F433" s="22">
        <f>IFERROR(+VLOOKUP(D433,Master!B:C,2,0),"")</f>
        <v/>
      </c>
      <c r="G433" s="23" t="n"/>
      <c r="H433" s="23">
        <f>+E433*G433</f>
        <v/>
      </c>
    </row>
    <row r="434">
      <c r="A434" s="8" t="n"/>
      <c r="B434" s="7" t="n"/>
      <c r="C434" s="8" t="n"/>
      <c r="D434" s="21" t="n"/>
      <c r="E434" s="22" t="n"/>
      <c r="F434" s="22">
        <f>IFERROR(+VLOOKUP(D434,Master!B:C,2,0),"")</f>
        <v/>
      </c>
      <c r="G434" s="23" t="n"/>
      <c r="H434" s="23">
        <f>+E434*G434</f>
        <v/>
      </c>
    </row>
    <row r="435">
      <c r="A435" s="8" t="n"/>
      <c r="B435" s="7" t="n"/>
      <c r="C435" s="8" t="n"/>
      <c r="D435" s="21" t="n"/>
      <c r="E435" s="22" t="n"/>
      <c r="F435" s="22">
        <f>IFERROR(+VLOOKUP(D435,Master!B:C,2,0),"")</f>
        <v/>
      </c>
      <c r="G435" s="23" t="n"/>
      <c r="H435" s="23">
        <f>+E435*G435</f>
        <v/>
      </c>
    </row>
    <row r="436">
      <c r="A436" s="8" t="n"/>
      <c r="B436" s="7" t="n"/>
      <c r="C436" s="8" t="n"/>
      <c r="D436" s="21" t="n"/>
      <c r="E436" s="22" t="n"/>
      <c r="F436" s="22">
        <f>IFERROR(+VLOOKUP(D436,Master!B:C,2,0),"")</f>
        <v/>
      </c>
      <c r="G436" s="23" t="n"/>
      <c r="H436" s="23">
        <f>+E436*G436</f>
        <v/>
      </c>
    </row>
    <row r="437">
      <c r="A437" s="8" t="n"/>
      <c r="B437" s="7" t="n"/>
      <c r="C437" s="8" t="n"/>
      <c r="D437" s="21" t="n"/>
      <c r="E437" s="22" t="n"/>
      <c r="F437" s="22">
        <f>IFERROR(+VLOOKUP(D437,Master!B:C,2,0),"")</f>
        <v/>
      </c>
      <c r="G437" s="23" t="n"/>
      <c r="H437" s="23">
        <f>+E437*G437</f>
        <v/>
      </c>
    </row>
    <row r="438">
      <c r="A438" s="8" t="n"/>
      <c r="B438" s="7" t="n"/>
      <c r="C438" s="8" t="n"/>
      <c r="D438" s="21" t="n"/>
      <c r="E438" s="22" t="n"/>
      <c r="F438" s="22">
        <f>IFERROR(+VLOOKUP(D438,Master!B:C,2,0),"")</f>
        <v/>
      </c>
      <c r="G438" s="23" t="n"/>
      <c r="H438" s="23">
        <f>+E438*G438</f>
        <v/>
      </c>
    </row>
    <row r="439">
      <c r="A439" s="8" t="n"/>
      <c r="B439" s="7" t="n"/>
      <c r="C439" s="8" t="n"/>
      <c r="D439" s="21" t="n"/>
      <c r="E439" s="22" t="n"/>
      <c r="F439" s="22">
        <f>IFERROR(+VLOOKUP(D439,Master!B:C,2,0),"")</f>
        <v/>
      </c>
      <c r="G439" s="23" t="n"/>
      <c r="H439" s="23">
        <f>+E439*G439</f>
        <v/>
      </c>
    </row>
    <row r="440">
      <c r="A440" s="8" t="n"/>
      <c r="B440" s="7" t="n"/>
      <c r="C440" s="8" t="n"/>
      <c r="D440" s="21" t="n"/>
      <c r="E440" s="22" t="n"/>
      <c r="F440" s="22">
        <f>IFERROR(+VLOOKUP(D440,Master!B:C,2,0),"")</f>
        <v/>
      </c>
      <c r="G440" s="23" t="n"/>
      <c r="H440" s="23">
        <f>+E440*G440</f>
        <v/>
      </c>
    </row>
    <row r="441">
      <c r="A441" s="8" t="n"/>
      <c r="B441" s="7" t="n"/>
      <c r="C441" s="8" t="n"/>
      <c r="D441" s="21" t="n"/>
      <c r="E441" s="22" t="n"/>
      <c r="F441" s="22">
        <f>IFERROR(+VLOOKUP(D441,Master!B:C,2,0),"")</f>
        <v/>
      </c>
      <c r="G441" s="23" t="n"/>
      <c r="H441" s="23">
        <f>+E441*G441</f>
        <v/>
      </c>
    </row>
    <row r="442">
      <c r="A442" s="8" t="n"/>
      <c r="B442" s="7" t="n"/>
      <c r="C442" s="8" t="n"/>
      <c r="D442" s="21" t="n"/>
      <c r="E442" s="22" t="n"/>
      <c r="F442" s="22">
        <f>IFERROR(+VLOOKUP(D442,Master!B:C,2,0),"")</f>
        <v/>
      </c>
      <c r="G442" s="23" t="n"/>
      <c r="H442" s="23">
        <f>+E442*G442</f>
        <v/>
      </c>
    </row>
    <row r="443">
      <c r="A443" s="8" t="n"/>
      <c r="B443" s="7" t="n"/>
      <c r="C443" s="8" t="n"/>
      <c r="D443" s="21" t="n"/>
      <c r="E443" s="22" t="n"/>
      <c r="F443" s="22">
        <f>IFERROR(+VLOOKUP(D443,Master!B:C,2,0),"")</f>
        <v/>
      </c>
      <c r="G443" s="23" t="n"/>
      <c r="H443" s="23">
        <f>+E443*G443</f>
        <v/>
      </c>
    </row>
    <row r="444">
      <c r="A444" s="8" t="n"/>
      <c r="B444" s="7" t="n"/>
      <c r="C444" s="8" t="n"/>
      <c r="D444" s="21" t="n"/>
      <c r="E444" s="22" t="n"/>
      <c r="F444" s="22">
        <f>IFERROR(+VLOOKUP(D444,Master!B:C,2,0),"")</f>
        <v/>
      </c>
      <c r="G444" s="23" t="n"/>
      <c r="H444" s="23">
        <f>+E444*G444</f>
        <v/>
      </c>
    </row>
    <row r="445">
      <c r="A445" s="8" t="n"/>
      <c r="B445" s="7" t="n"/>
      <c r="C445" s="8" t="n"/>
      <c r="D445" s="21" t="n"/>
      <c r="E445" s="22" t="n"/>
      <c r="F445" s="22">
        <f>IFERROR(+VLOOKUP(D445,Master!B:C,2,0),"")</f>
        <v/>
      </c>
      <c r="G445" s="23" t="n"/>
      <c r="H445" s="23">
        <f>+E445*G445</f>
        <v/>
      </c>
    </row>
    <row r="446">
      <c r="A446" s="8" t="n"/>
      <c r="B446" s="7" t="n"/>
      <c r="C446" s="8" t="n"/>
      <c r="D446" s="21" t="n"/>
      <c r="E446" s="22" t="n"/>
      <c r="F446" s="22">
        <f>IFERROR(+VLOOKUP(D446,Master!B:C,2,0),"")</f>
        <v/>
      </c>
      <c r="G446" s="23" t="n"/>
      <c r="H446" s="23">
        <f>+E446*G446</f>
        <v/>
      </c>
    </row>
    <row r="447">
      <c r="A447" s="8" t="n"/>
      <c r="B447" s="7" t="n"/>
      <c r="C447" s="8" t="n"/>
      <c r="D447" s="21" t="n"/>
      <c r="E447" s="22" t="n"/>
      <c r="F447" s="22">
        <f>IFERROR(+VLOOKUP(D447,Master!B:C,2,0),"")</f>
        <v/>
      </c>
      <c r="G447" s="23" t="n"/>
      <c r="H447" s="23">
        <f>+E447*G447</f>
        <v/>
      </c>
    </row>
    <row r="448">
      <c r="A448" s="8" t="n"/>
      <c r="B448" s="7" t="n"/>
      <c r="C448" s="8" t="n"/>
      <c r="D448" s="21" t="n"/>
      <c r="E448" s="22" t="n"/>
      <c r="F448" s="22">
        <f>IFERROR(+VLOOKUP(D448,Master!B:C,2,0),"")</f>
        <v/>
      </c>
      <c r="G448" s="23" t="n"/>
      <c r="H448" s="23">
        <f>+E448*G448</f>
        <v/>
      </c>
    </row>
    <row r="449">
      <c r="A449" s="8" t="n"/>
      <c r="B449" s="7" t="n"/>
      <c r="C449" s="8" t="n"/>
      <c r="D449" s="21" t="n"/>
      <c r="E449" s="22" t="n"/>
      <c r="F449" s="22">
        <f>IFERROR(+VLOOKUP(D449,Master!B:C,2,0),"")</f>
        <v/>
      </c>
      <c r="G449" s="23" t="n"/>
      <c r="H449" s="23">
        <f>+E449*G449</f>
        <v/>
      </c>
    </row>
    <row r="450">
      <c r="A450" s="8" t="n"/>
      <c r="B450" s="7" t="n"/>
      <c r="C450" s="8" t="n"/>
      <c r="D450" s="21" t="n"/>
      <c r="E450" s="22" t="n"/>
      <c r="F450" s="22">
        <f>IFERROR(+VLOOKUP(D450,Master!B:C,2,0),"")</f>
        <v/>
      </c>
      <c r="G450" s="23" t="n"/>
      <c r="H450" s="23">
        <f>+E450*G450</f>
        <v/>
      </c>
    </row>
    <row r="451">
      <c r="A451" s="8" t="n"/>
      <c r="B451" s="7" t="n"/>
      <c r="C451" s="8" t="n"/>
      <c r="D451" s="21" t="n"/>
      <c r="E451" s="22" t="n"/>
      <c r="F451" s="22">
        <f>IFERROR(+VLOOKUP(D451,Master!B:C,2,0),"")</f>
        <v/>
      </c>
      <c r="G451" s="23" t="n"/>
      <c r="H451" s="23">
        <f>+E451*G451</f>
        <v/>
      </c>
    </row>
    <row r="452">
      <c r="A452" s="8" t="n"/>
      <c r="B452" s="7" t="n"/>
      <c r="C452" s="8" t="n"/>
      <c r="D452" s="21" t="n"/>
      <c r="E452" s="22" t="n"/>
      <c r="F452" s="22">
        <f>IFERROR(+VLOOKUP(D452,Master!B:C,2,0),"")</f>
        <v/>
      </c>
      <c r="G452" s="23" t="n"/>
      <c r="H452" s="23">
        <f>+E452*G452</f>
        <v/>
      </c>
    </row>
    <row r="453">
      <c r="A453" s="8" t="n"/>
      <c r="B453" s="7" t="n"/>
      <c r="C453" s="8" t="n"/>
      <c r="D453" s="21" t="n"/>
      <c r="E453" s="22" t="n"/>
      <c r="F453" s="22">
        <f>IFERROR(+VLOOKUP(D453,Master!B:C,2,0),"")</f>
        <v/>
      </c>
      <c r="G453" s="23" t="n"/>
      <c r="H453" s="23">
        <f>+E453*G453</f>
        <v/>
      </c>
    </row>
    <row r="454">
      <c r="A454" s="8" t="n"/>
      <c r="B454" s="7" t="n"/>
      <c r="C454" s="8" t="n"/>
      <c r="D454" s="21" t="n"/>
      <c r="E454" s="22" t="n"/>
      <c r="F454" s="22">
        <f>IFERROR(+VLOOKUP(D454,Master!B:C,2,0),"")</f>
        <v/>
      </c>
      <c r="G454" s="23" t="n"/>
      <c r="H454" s="23">
        <f>+E454*G454</f>
        <v/>
      </c>
    </row>
    <row r="455">
      <c r="A455" s="8" t="n"/>
      <c r="B455" s="7" t="n"/>
      <c r="C455" s="8" t="n"/>
      <c r="D455" s="21" t="n"/>
      <c r="E455" s="22" t="n"/>
      <c r="F455" s="22">
        <f>IFERROR(+VLOOKUP(D455,Master!B:C,2,0),"")</f>
        <v/>
      </c>
      <c r="G455" s="23" t="n"/>
      <c r="H455" s="23">
        <f>+E455*G455</f>
        <v/>
      </c>
    </row>
    <row r="456">
      <c r="A456" s="8" t="n"/>
      <c r="B456" s="7" t="n"/>
      <c r="C456" s="8" t="n"/>
      <c r="D456" s="21" t="n"/>
      <c r="E456" s="22" t="n"/>
      <c r="F456" s="22">
        <f>IFERROR(+VLOOKUP(D456,Master!B:C,2,0),"")</f>
        <v/>
      </c>
      <c r="G456" s="23" t="n"/>
      <c r="H456" s="23">
        <f>+E456*G456</f>
        <v/>
      </c>
    </row>
    <row r="457">
      <c r="A457" s="8" t="n"/>
      <c r="B457" s="7" t="n"/>
      <c r="C457" s="8" t="n"/>
      <c r="D457" s="21" t="n"/>
      <c r="E457" s="22" t="n"/>
      <c r="F457" s="22">
        <f>IFERROR(+VLOOKUP(D457,Master!B:C,2,0),"")</f>
        <v/>
      </c>
      <c r="G457" s="23" t="n"/>
      <c r="H457" s="23">
        <f>+E457*G457</f>
        <v/>
      </c>
    </row>
    <row r="458">
      <c r="A458" s="8" t="n"/>
      <c r="B458" s="7" t="n"/>
      <c r="C458" s="8" t="n"/>
      <c r="D458" s="21" t="n"/>
      <c r="E458" s="22" t="n"/>
      <c r="F458" s="22">
        <f>IFERROR(+VLOOKUP(D458,Master!B:C,2,0),"")</f>
        <v/>
      </c>
      <c r="G458" s="23" t="n"/>
      <c r="H458" s="23">
        <f>+E458*G458</f>
        <v/>
      </c>
    </row>
    <row r="459">
      <c r="A459" s="8" t="n"/>
      <c r="B459" s="7" t="n"/>
      <c r="C459" s="8" t="n"/>
      <c r="D459" s="21" t="n"/>
      <c r="E459" s="22" t="n"/>
      <c r="F459" s="22">
        <f>IFERROR(+VLOOKUP(D459,Master!B:C,2,0),"")</f>
        <v/>
      </c>
      <c r="G459" s="23" t="n"/>
      <c r="H459" s="23">
        <f>+E459*G459</f>
        <v/>
      </c>
    </row>
    <row r="460">
      <c r="A460" s="8" t="n"/>
      <c r="B460" s="7" t="n"/>
      <c r="C460" s="8" t="n"/>
      <c r="D460" s="21" t="n"/>
      <c r="E460" s="22" t="n"/>
      <c r="F460" s="22">
        <f>IFERROR(+VLOOKUP(D460,Master!B:C,2,0),"")</f>
        <v/>
      </c>
      <c r="G460" s="23" t="n"/>
      <c r="H460" s="23">
        <f>+E460*G460</f>
        <v/>
      </c>
    </row>
    <row r="461">
      <c r="A461" s="8" t="n"/>
      <c r="B461" s="7" t="n"/>
      <c r="C461" s="8" t="n"/>
      <c r="D461" s="21" t="n"/>
      <c r="E461" s="22" t="n"/>
      <c r="F461" s="22">
        <f>IFERROR(+VLOOKUP(D461,Master!B:C,2,0),"")</f>
        <v/>
      </c>
      <c r="G461" s="23" t="n"/>
      <c r="H461" s="23">
        <f>+E461*G461</f>
        <v/>
      </c>
    </row>
    <row r="462">
      <c r="A462" s="8" t="n"/>
      <c r="B462" s="7" t="n"/>
      <c r="C462" s="8" t="n"/>
      <c r="D462" s="21" t="n"/>
      <c r="E462" s="22" t="n"/>
      <c r="F462" s="22">
        <f>IFERROR(+VLOOKUP(D462,Master!B:C,2,0),"")</f>
        <v/>
      </c>
      <c r="G462" s="23" t="n"/>
      <c r="H462" s="23">
        <f>+E462*G462</f>
        <v/>
      </c>
    </row>
    <row r="463">
      <c r="A463" s="8" t="n"/>
      <c r="B463" s="7" t="n"/>
      <c r="C463" s="8" t="n"/>
      <c r="D463" s="21" t="n"/>
      <c r="E463" s="22" t="n"/>
      <c r="F463" s="22">
        <f>IFERROR(+VLOOKUP(D463,Master!B:C,2,0),"")</f>
        <v/>
      </c>
      <c r="G463" s="23" t="n"/>
      <c r="H463" s="23">
        <f>+E463*G463</f>
        <v/>
      </c>
    </row>
    <row r="464">
      <c r="A464" s="8" t="n"/>
      <c r="B464" s="7" t="n"/>
      <c r="C464" s="8" t="n"/>
      <c r="D464" s="21" t="n"/>
      <c r="E464" s="22" t="n"/>
      <c r="F464" s="22">
        <f>IFERROR(+VLOOKUP(D464,Master!B:C,2,0),"")</f>
        <v/>
      </c>
      <c r="G464" s="23" t="n"/>
      <c r="H464" s="23">
        <f>+E464*G464</f>
        <v/>
      </c>
    </row>
    <row r="465">
      <c r="A465" s="8" t="n"/>
      <c r="B465" s="7" t="n"/>
      <c r="C465" s="8" t="n"/>
      <c r="D465" s="21" t="n"/>
      <c r="E465" s="22" t="n"/>
      <c r="F465" s="22">
        <f>IFERROR(+VLOOKUP(D465,Master!B:C,2,0),"")</f>
        <v/>
      </c>
      <c r="G465" s="23" t="n"/>
      <c r="H465" s="23">
        <f>+E465*G465</f>
        <v/>
      </c>
    </row>
    <row r="466">
      <c r="A466" s="8" t="n"/>
      <c r="B466" s="7" t="n"/>
      <c r="C466" s="8" t="n"/>
      <c r="D466" s="21" t="n"/>
      <c r="E466" s="22" t="n"/>
      <c r="F466" s="22">
        <f>IFERROR(+VLOOKUP(D466,Master!B:C,2,0),"")</f>
        <v/>
      </c>
      <c r="G466" s="23" t="n"/>
      <c r="H466" s="23">
        <f>+E466*G466</f>
        <v/>
      </c>
    </row>
    <row r="467">
      <c r="A467" s="8" t="n"/>
      <c r="B467" s="7" t="n"/>
      <c r="C467" s="8" t="n"/>
      <c r="D467" s="21" t="n"/>
      <c r="E467" s="22" t="n"/>
      <c r="F467" s="22">
        <f>IFERROR(+VLOOKUP(D467,Master!B:C,2,0),"")</f>
        <v/>
      </c>
      <c r="G467" s="23" t="n"/>
      <c r="H467" s="23">
        <f>+E467*G467</f>
        <v/>
      </c>
    </row>
    <row r="468">
      <c r="A468" s="8" t="n"/>
      <c r="B468" s="7" t="n"/>
      <c r="C468" s="8" t="n"/>
      <c r="D468" s="21" t="n"/>
      <c r="E468" s="22" t="n"/>
      <c r="F468" s="22">
        <f>IFERROR(+VLOOKUP(D468,Master!B:C,2,0),"")</f>
        <v/>
      </c>
      <c r="G468" s="23" t="n"/>
      <c r="H468" s="23">
        <f>+E468*G468</f>
        <v/>
      </c>
    </row>
    <row r="469">
      <c r="A469" s="8" t="n"/>
      <c r="B469" s="7" t="n"/>
      <c r="C469" s="8" t="n"/>
      <c r="D469" s="21" t="n"/>
      <c r="E469" s="22" t="n"/>
      <c r="F469" s="22">
        <f>IFERROR(+VLOOKUP(D469,Master!B:C,2,0),"")</f>
        <v/>
      </c>
      <c r="G469" s="23" t="n"/>
      <c r="H469" s="23">
        <f>+E469*G469</f>
        <v/>
      </c>
    </row>
    <row r="470">
      <c r="A470" s="8" t="n"/>
      <c r="B470" s="7" t="n"/>
      <c r="C470" s="8" t="n"/>
      <c r="D470" s="21" t="n"/>
      <c r="E470" s="22" t="n"/>
      <c r="F470" s="22">
        <f>IFERROR(+VLOOKUP(D470,Master!B:C,2,0),"")</f>
        <v/>
      </c>
      <c r="G470" s="23" t="n"/>
      <c r="H470" s="23">
        <f>+E470*G470</f>
        <v/>
      </c>
    </row>
    <row r="471">
      <c r="A471" s="8" t="n"/>
      <c r="B471" s="7" t="n"/>
      <c r="C471" s="8" t="n"/>
      <c r="D471" s="21" t="n"/>
      <c r="E471" s="22" t="n"/>
      <c r="F471" s="22">
        <f>IFERROR(+VLOOKUP(D471,Master!B:C,2,0),"")</f>
        <v/>
      </c>
      <c r="G471" s="23" t="n"/>
      <c r="H471" s="23">
        <f>+E471*G471</f>
        <v/>
      </c>
    </row>
    <row r="472">
      <c r="A472" s="8" t="n"/>
      <c r="B472" s="7" t="n"/>
      <c r="C472" s="8" t="n"/>
      <c r="D472" s="21" t="n"/>
      <c r="E472" s="22" t="n"/>
      <c r="F472" s="22">
        <f>IFERROR(+VLOOKUP(D472,Master!B:C,2,0),"")</f>
        <v/>
      </c>
      <c r="G472" s="23" t="n"/>
      <c r="H472" s="23">
        <f>+E472*G472</f>
        <v/>
      </c>
    </row>
    <row r="473">
      <c r="A473" s="8" t="n"/>
      <c r="B473" s="7" t="n"/>
      <c r="C473" s="8" t="n"/>
      <c r="D473" s="21" t="n"/>
      <c r="E473" s="22" t="n"/>
      <c r="F473" s="22">
        <f>IFERROR(+VLOOKUP(D473,Master!B:C,2,0),"")</f>
        <v/>
      </c>
      <c r="G473" s="23" t="n"/>
      <c r="H473" s="23">
        <f>+E473*G473</f>
        <v/>
      </c>
    </row>
    <row r="474">
      <c r="A474" s="8" t="n"/>
      <c r="B474" s="7" t="n"/>
      <c r="C474" s="8" t="n"/>
      <c r="D474" s="21" t="n"/>
      <c r="E474" s="22" t="n"/>
      <c r="F474" s="22">
        <f>IFERROR(+VLOOKUP(D474,Master!B:C,2,0),"")</f>
        <v/>
      </c>
      <c r="G474" s="23" t="n"/>
      <c r="H474" s="23">
        <f>+E474*G474</f>
        <v/>
      </c>
    </row>
    <row r="475">
      <c r="A475" s="8" t="n"/>
      <c r="B475" s="7" t="n"/>
      <c r="C475" s="8" t="n"/>
      <c r="D475" s="21" t="n"/>
      <c r="E475" s="22" t="n"/>
      <c r="F475" s="22">
        <f>IFERROR(+VLOOKUP(D475,Master!B:C,2,0),"")</f>
        <v/>
      </c>
      <c r="G475" s="23" t="n"/>
      <c r="H475" s="23">
        <f>+E475*G475</f>
        <v/>
      </c>
    </row>
    <row r="476">
      <c r="A476" s="8" t="n"/>
      <c r="B476" s="7" t="n"/>
      <c r="C476" s="8" t="n"/>
      <c r="D476" s="21" t="n"/>
      <c r="E476" s="22" t="n"/>
      <c r="F476" s="22">
        <f>IFERROR(+VLOOKUP(D476,Master!B:C,2,0),"")</f>
        <v/>
      </c>
      <c r="G476" s="23" t="n"/>
      <c r="H476" s="23">
        <f>+E476*G476</f>
        <v/>
      </c>
    </row>
    <row r="477">
      <c r="A477" s="8" t="n"/>
      <c r="B477" s="7" t="n"/>
      <c r="C477" s="8" t="n"/>
      <c r="D477" s="21" t="n"/>
      <c r="E477" s="22" t="n"/>
      <c r="F477" s="22">
        <f>IFERROR(+VLOOKUP(D477,Master!B:C,2,0),"")</f>
        <v/>
      </c>
      <c r="G477" s="23" t="n"/>
      <c r="H477" s="23">
        <f>+E477*G477</f>
        <v/>
      </c>
    </row>
    <row r="478">
      <c r="A478" s="8" t="n"/>
      <c r="B478" s="7" t="n"/>
      <c r="C478" s="8" t="n"/>
      <c r="D478" s="21" t="n"/>
      <c r="E478" s="22" t="n"/>
      <c r="F478" s="22">
        <f>IFERROR(+VLOOKUP(D478,Master!B:C,2,0),"")</f>
        <v/>
      </c>
      <c r="G478" s="23" t="n"/>
      <c r="H478" s="23">
        <f>+E478*G478</f>
        <v/>
      </c>
    </row>
    <row r="479">
      <c r="A479" s="8" t="n"/>
      <c r="B479" s="7" t="n"/>
      <c r="C479" s="8" t="n"/>
      <c r="D479" s="21" t="n"/>
      <c r="E479" s="22" t="n"/>
      <c r="F479" s="22">
        <f>IFERROR(+VLOOKUP(D479,Master!B:C,2,0),"")</f>
        <v/>
      </c>
      <c r="G479" s="23" t="n"/>
      <c r="H479" s="23">
        <f>+E479*G479</f>
        <v/>
      </c>
    </row>
    <row r="480">
      <c r="A480" s="8" t="n"/>
      <c r="B480" s="7" t="n"/>
      <c r="C480" s="8" t="n"/>
      <c r="D480" s="21" t="n"/>
      <c r="E480" s="22" t="n"/>
      <c r="F480" s="22">
        <f>IFERROR(+VLOOKUP(D480,Master!B:C,2,0),"")</f>
        <v/>
      </c>
      <c r="G480" s="23" t="n"/>
      <c r="H480" s="23">
        <f>+E480*G480</f>
        <v/>
      </c>
    </row>
    <row r="481">
      <c r="A481" s="8" t="n"/>
      <c r="B481" s="7" t="n"/>
      <c r="C481" s="8" t="n"/>
      <c r="D481" s="21" t="n"/>
      <c r="E481" s="22" t="n"/>
      <c r="F481" s="22">
        <f>IFERROR(+VLOOKUP(D481,Master!B:C,2,0),"")</f>
        <v/>
      </c>
      <c r="G481" s="23" t="n"/>
      <c r="H481" s="23">
        <f>+E481*G481</f>
        <v/>
      </c>
    </row>
    <row r="482">
      <c r="A482" s="8" t="n"/>
      <c r="B482" s="7" t="n"/>
      <c r="C482" s="8" t="n"/>
      <c r="D482" s="21" t="n"/>
      <c r="E482" s="22" t="n"/>
      <c r="F482" s="22">
        <f>IFERROR(+VLOOKUP(D482,Master!B:C,2,0),"")</f>
        <v/>
      </c>
      <c r="G482" s="23" t="n"/>
      <c r="H482" s="23">
        <f>+E482*G482</f>
        <v/>
      </c>
    </row>
    <row r="483">
      <c r="A483" s="8" t="n"/>
      <c r="B483" s="7" t="n"/>
      <c r="C483" s="8" t="n"/>
      <c r="D483" s="21" t="n"/>
      <c r="E483" s="22" t="n"/>
      <c r="F483" s="22">
        <f>IFERROR(+VLOOKUP(D483,Master!B:C,2,0),"")</f>
        <v/>
      </c>
      <c r="G483" s="23" t="n"/>
      <c r="H483" s="23">
        <f>+E483*G483</f>
        <v/>
      </c>
    </row>
    <row r="484">
      <c r="A484" s="8" t="n"/>
      <c r="B484" s="7" t="n"/>
      <c r="C484" s="8" t="n"/>
      <c r="D484" s="21" t="n"/>
      <c r="E484" s="22" t="n"/>
      <c r="F484" s="22">
        <f>IFERROR(+VLOOKUP(D484,Master!B:C,2,0),"")</f>
        <v/>
      </c>
      <c r="G484" s="23" t="n"/>
      <c r="H484" s="23">
        <f>+E484*G484</f>
        <v/>
      </c>
    </row>
    <row r="485">
      <c r="A485" s="8" t="n"/>
      <c r="B485" s="7" t="n"/>
      <c r="C485" s="8" t="n"/>
      <c r="D485" s="21" t="n"/>
      <c r="E485" s="22" t="n"/>
      <c r="F485" s="22">
        <f>IFERROR(+VLOOKUP(D485,Master!B:C,2,0),"")</f>
        <v/>
      </c>
      <c r="G485" s="23" t="n"/>
      <c r="H485" s="23">
        <f>+E485*G485</f>
        <v/>
      </c>
    </row>
    <row r="486">
      <c r="A486" s="8" t="n"/>
      <c r="B486" s="7" t="n"/>
      <c r="C486" s="8" t="n"/>
      <c r="D486" s="21" t="n"/>
      <c r="E486" s="22" t="n"/>
      <c r="F486" s="22">
        <f>IFERROR(+VLOOKUP(D486,Master!B:C,2,0),"")</f>
        <v/>
      </c>
      <c r="G486" s="23" t="n"/>
      <c r="H486" s="23">
        <f>+E486*G486</f>
        <v/>
      </c>
    </row>
    <row r="487">
      <c r="A487" s="8" t="n"/>
      <c r="B487" s="7" t="n"/>
      <c r="C487" s="8" t="n"/>
      <c r="D487" s="21" t="n"/>
      <c r="E487" s="22" t="n"/>
      <c r="F487" s="22">
        <f>IFERROR(+VLOOKUP(D487,Master!B:C,2,0),"")</f>
        <v/>
      </c>
      <c r="G487" s="23" t="n"/>
      <c r="H487" s="23">
        <f>+E487*G487</f>
        <v/>
      </c>
    </row>
    <row r="488">
      <c r="A488" s="8" t="n"/>
      <c r="B488" s="7" t="n"/>
      <c r="C488" s="8" t="n"/>
      <c r="D488" s="21" t="n"/>
      <c r="E488" s="22" t="n"/>
      <c r="F488" s="22">
        <f>IFERROR(+VLOOKUP(D488,Master!B:C,2,0),"")</f>
        <v/>
      </c>
      <c r="G488" s="23" t="n"/>
      <c r="H488" s="23">
        <f>+E488*G488</f>
        <v/>
      </c>
    </row>
    <row r="489">
      <c r="A489" s="8" t="n"/>
      <c r="B489" s="7" t="n"/>
      <c r="C489" s="8" t="n"/>
      <c r="D489" s="21" t="n"/>
      <c r="E489" s="22" t="n"/>
      <c r="F489" s="22">
        <f>IFERROR(+VLOOKUP(D489,Master!B:C,2,0),"")</f>
        <v/>
      </c>
      <c r="G489" s="23" t="n"/>
      <c r="H489" s="23">
        <f>+E489*G489</f>
        <v/>
      </c>
    </row>
    <row r="490">
      <c r="A490" s="8" t="n"/>
      <c r="B490" s="7" t="n"/>
      <c r="C490" s="8" t="n"/>
      <c r="D490" s="21" t="n"/>
      <c r="E490" s="22" t="n"/>
      <c r="F490" s="22">
        <f>IFERROR(+VLOOKUP(D490,Master!B:C,2,0),"")</f>
        <v/>
      </c>
      <c r="G490" s="23" t="n"/>
      <c r="H490" s="23">
        <f>+E490*G490</f>
        <v/>
      </c>
    </row>
    <row r="491">
      <c r="A491" s="8" t="n"/>
      <c r="B491" s="7" t="n"/>
      <c r="C491" s="8" t="n"/>
      <c r="D491" s="21" t="n"/>
      <c r="E491" s="22" t="n"/>
      <c r="F491" s="22">
        <f>IFERROR(+VLOOKUP(D491,Master!B:C,2,0),"")</f>
        <v/>
      </c>
      <c r="G491" s="23" t="n"/>
      <c r="H491" s="23">
        <f>+E491*G491</f>
        <v/>
      </c>
    </row>
    <row r="492">
      <c r="A492" s="8" t="n"/>
      <c r="B492" s="7" t="n"/>
      <c r="C492" s="8" t="n"/>
      <c r="D492" s="21" t="n"/>
      <c r="E492" s="22" t="n"/>
      <c r="F492" s="22">
        <f>IFERROR(+VLOOKUP(D492,Master!B:C,2,0),"")</f>
        <v/>
      </c>
      <c r="G492" s="23" t="n"/>
      <c r="H492" s="23">
        <f>+E492*G492</f>
        <v/>
      </c>
    </row>
    <row r="493">
      <c r="A493" s="8" t="n"/>
      <c r="B493" s="7" t="n"/>
      <c r="C493" s="8" t="n"/>
      <c r="D493" s="21" t="n"/>
      <c r="E493" s="22" t="n"/>
      <c r="F493" s="22">
        <f>IFERROR(+VLOOKUP(D493,Master!B:C,2,0),"")</f>
        <v/>
      </c>
      <c r="G493" s="23" t="n"/>
      <c r="H493" s="23">
        <f>+E493*G493</f>
        <v/>
      </c>
    </row>
    <row r="494">
      <c r="A494" s="8" t="n"/>
      <c r="B494" s="7" t="n"/>
      <c r="C494" s="8" t="n"/>
      <c r="D494" s="21" t="n"/>
      <c r="E494" s="22" t="n"/>
      <c r="F494" s="22">
        <f>IFERROR(+VLOOKUP(D494,Master!B:C,2,0),"")</f>
        <v/>
      </c>
      <c r="G494" s="23" t="n"/>
      <c r="H494" s="23">
        <f>+E494*G494</f>
        <v/>
      </c>
    </row>
    <row r="495">
      <c r="A495" s="8" t="n"/>
      <c r="B495" s="7" t="n"/>
      <c r="C495" s="8" t="n"/>
      <c r="D495" s="21" t="n"/>
      <c r="E495" s="22" t="n"/>
      <c r="F495" s="22">
        <f>IFERROR(+VLOOKUP(D495,Master!B:C,2,0),"")</f>
        <v/>
      </c>
      <c r="G495" s="23" t="n"/>
      <c r="H495" s="23">
        <f>+E495*G495</f>
        <v/>
      </c>
    </row>
    <row r="496">
      <c r="A496" s="8" t="n"/>
      <c r="B496" s="7" t="n"/>
      <c r="C496" s="8" t="n"/>
      <c r="D496" s="21" t="n"/>
      <c r="E496" s="22" t="n"/>
      <c r="F496" s="22">
        <f>IFERROR(+VLOOKUP(D496,Master!B:C,2,0),"")</f>
        <v/>
      </c>
      <c r="G496" s="23" t="n"/>
      <c r="H496" s="23">
        <f>+E496*G496</f>
        <v/>
      </c>
    </row>
    <row r="497">
      <c r="A497" s="8" t="n"/>
      <c r="B497" s="7" t="n"/>
      <c r="C497" s="8" t="n"/>
      <c r="D497" s="21" t="n"/>
      <c r="E497" s="22" t="n"/>
      <c r="F497" s="22">
        <f>IFERROR(+VLOOKUP(D497,Master!B:C,2,0),"")</f>
        <v/>
      </c>
      <c r="G497" s="23" t="n"/>
      <c r="H497" s="23">
        <f>+E497*G497</f>
        <v/>
      </c>
    </row>
    <row r="498">
      <c r="A498" s="8" t="n"/>
      <c r="B498" s="7" t="n"/>
      <c r="C498" s="8" t="n"/>
      <c r="D498" s="21" t="n"/>
      <c r="E498" s="22" t="n"/>
      <c r="F498" s="22">
        <f>IFERROR(+VLOOKUP(D498,Master!B:C,2,0),"")</f>
        <v/>
      </c>
      <c r="G498" s="23" t="n"/>
      <c r="H498" s="23">
        <f>+E498*G498</f>
        <v/>
      </c>
    </row>
    <row r="499">
      <c r="A499" s="8" t="n"/>
      <c r="B499" s="7" t="n"/>
      <c r="C499" s="8" t="n"/>
      <c r="D499" s="21" t="n"/>
      <c r="E499" s="22" t="n"/>
      <c r="F499" s="22">
        <f>IFERROR(+VLOOKUP(D499,Master!B:C,2,0),"")</f>
        <v/>
      </c>
      <c r="G499" s="23" t="n"/>
      <c r="H499" s="23">
        <f>+E499*G499</f>
        <v/>
      </c>
    </row>
    <row r="500">
      <c r="A500" s="8" t="n"/>
      <c r="B500" s="7" t="n"/>
      <c r="C500" s="8" t="n"/>
      <c r="D500" s="21" t="n"/>
      <c r="E500" s="22" t="n"/>
      <c r="F500" s="22">
        <f>IFERROR(+VLOOKUP(D500,Master!B:C,2,0),"")</f>
        <v/>
      </c>
      <c r="G500" s="23" t="n"/>
      <c r="H500" s="23">
        <f>+E500*G500</f>
        <v/>
      </c>
    </row>
    <row r="501">
      <c r="A501" s="8" t="n"/>
      <c r="B501" s="7" t="n"/>
      <c r="C501" s="8" t="n"/>
      <c r="D501" s="21" t="n"/>
      <c r="E501" s="22" t="n"/>
      <c r="F501" s="22">
        <f>IFERROR(+VLOOKUP(D501,Master!B:C,2,0),"")</f>
        <v/>
      </c>
      <c r="G501" s="23" t="n"/>
      <c r="H501" s="23">
        <f>+E501*G501</f>
        <v/>
      </c>
    </row>
    <row r="502">
      <c r="A502" s="8" t="n"/>
      <c r="B502" s="7" t="n"/>
      <c r="C502" s="8" t="n"/>
      <c r="D502" s="21" t="n"/>
      <c r="E502" s="22" t="n"/>
      <c r="F502" s="22">
        <f>IFERROR(+VLOOKUP(D502,Master!B:C,2,0),"")</f>
        <v/>
      </c>
      <c r="G502" s="23" t="n"/>
      <c r="H502" s="23">
        <f>+E502*G502</f>
        <v/>
      </c>
    </row>
    <row r="503">
      <c r="A503" s="8" t="n"/>
      <c r="B503" s="7" t="n"/>
      <c r="C503" s="8" t="n"/>
      <c r="D503" s="21" t="n"/>
      <c r="E503" s="22" t="n"/>
      <c r="F503" s="22">
        <f>IFERROR(+VLOOKUP(D503,Master!B:C,2,0),"")</f>
        <v/>
      </c>
      <c r="G503" s="23" t="n"/>
      <c r="H503" s="23">
        <f>+E503*G503</f>
        <v/>
      </c>
    </row>
    <row r="504">
      <c r="A504" s="8" t="n"/>
      <c r="B504" s="7" t="n"/>
      <c r="C504" s="8" t="n"/>
      <c r="D504" s="21" t="n"/>
      <c r="E504" s="22" t="n"/>
      <c r="F504" s="22">
        <f>IFERROR(+VLOOKUP(D504,Master!B:C,2,0),"")</f>
        <v/>
      </c>
      <c r="G504" s="23" t="n"/>
      <c r="H504" s="23">
        <f>+E504*G504</f>
        <v/>
      </c>
    </row>
    <row r="505">
      <c r="A505" s="8" t="n"/>
      <c r="B505" s="7" t="n"/>
      <c r="C505" s="8" t="n"/>
      <c r="D505" s="21" t="n"/>
      <c r="E505" s="22" t="n"/>
      <c r="F505" s="22">
        <f>IFERROR(+VLOOKUP(D505,Master!B:C,2,0),"")</f>
        <v/>
      </c>
      <c r="G505" s="23" t="n"/>
      <c r="H505" s="23">
        <f>+E505*G505</f>
        <v/>
      </c>
    </row>
    <row r="506">
      <c r="A506" s="8" t="n"/>
      <c r="B506" s="7" t="n"/>
      <c r="C506" s="8" t="n"/>
      <c r="D506" s="21" t="n"/>
      <c r="E506" s="22" t="n"/>
      <c r="F506" s="22">
        <f>IFERROR(+VLOOKUP(D506,Master!B:C,2,0),"")</f>
        <v/>
      </c>
      <c r="G506" s="23" t="n"/>
      <c r="H506" s="23">
        <f>+E506*G506</f>
        <v/>
      </c>
    </row>
    <row r="507">
      <c r="A507" s="8" t="n"/>
      <c r="B507" s="7" t="n"/>
      <c r="C507" s="8" t="n"/>
      <c r="D507" s="21" t="n"/>
      <c r="E507" s="22" t="n"/>
      <c r="F507" s="22">
        <f>IFERROR(+VLOOKUP(D507,Master!B:C,2,0),"")</f>
        <v/>
      </c>
      <c r="G507" s="23" t="n"/>
      <c r="H507" s="23">
        <f>+E507*G507</f>
        <v/>
      </c>
    </row>
    <row r="508">
      <c r="A508" s="8" t="n"/>
      <c r="B508" s="7" t="n"/>
      <c r="C508" s="8" t="n"/>
      <c r="D508" s="21" t="n"/>
      <c r="E508" s="22" t="n"/>
      <c r="F508" s="22">
        <f>IFERROR(+VLOOKUP(D508,Master!B:C,2,0),"")</f>
        <v/>
      </c>
      <c r="G508" s="23" t="n"/>
      <c r="H508" s="23">
        <f>+E508*G508</f>
        <v/>
      </c>
    </row>
    <row r="509">
      <c r="A509" s="8" t="n"/>
      <c r="B509" s="7" t="n"/>
      <c r="C509" s="8" t="n"/>
      <c r="D509" s="21" t="n"/>
      <c r="E509" s="22" t="n"/>
      <c r="F509" s="22">
        <f>IFERROR(+VLOOKUP(D509,Master!B:C,2,0),"")</f>
        <v/>
      </c>
      <c r="G509" s="23" t="n"/>
      <c r="H509" s="23">
        <f>+E509*G509</f>
        <v/>
      </c>
    </row>
    <row r="510">
      <c r="A510" s="8" t="n"/>
      <c r="B510" s="7" t="n"/>
      <c r="C510" s="8" t="n"/>
      <c r="D510" s="21" t="n"/>
      <c r="E510" s="22" t="n"/>
      <c r="F510" s="22">
        <f>IFERROR(+VLOOKUP(D510,Master!B:C,2,0),"")</f>
        <v/>
      </c>
      <c r="G510" s="23" t="n"/>
      <c r="H510" s="23">
        <f>+E510*G510</f>
        <v/>
      </c>
    </row>
    <row r="511">
      <c r="A511" s="8" t="n"/>
      <c r="B511" s="7" t="n"/>
      <c r="C511" s="8" t="n"/>
      <c r="D511" s="21" t="n"/>
      <c r="E511" s="22" t="n"/>
      <c r="F511" s="22">
        <f>IFERROR(+VLOOKUP(D511,Master!B:C,2,0),"")</f>
        <v/>
      </c>
      <c r="G511" s="23" t="n"/>
      <c r="H511" s="23">
        <f>+E511*G511</f>
        <v/>
      </c>
    </row>
    <row r="512">
      <c r="A512" s="8" t="n"/>
      <c r="B512" s="7" t="n"/>
      <c r="C512" s="8" t="n"/>
      <c r="D512" s="21" t="n"/>
      <c r="E512" s="22" t="n"/>
      <c r="F512" s="22">
        <f>IFERROR(+VLOOKUP(D512,Master!B:C,2,0),"")</f>
        <v/>
      </c>
      <c r="G512" s="23" t="n"/>
      <c r="H512" s="23">
        <f>+E512*G512</f>
        <v/>
      </c>
    </row>
    <row r="513">
      <c r="A513" s="8" t="n"/>
      <c r="B513" s="7" t="n"/>
      <c r="C513" s="8" t="n"/>
      <c r="D513" s="21" t="n"/>
      <c r="E513" s="22" t="n"/>
      <c r="F513" s="22">
        <f>IFERROR(+VLOOKUP(D513,Master!B:C,2,0),"")</f>
        <v/>
      </c>
      <c r="G513" s="23" t="n"/>
      <c r="H513" s="23">
        <f>+E513*G513</f>
        <v/>
      </c>
    </row>
    <row r="514">
      <c r="A514" s="8" t="n"/>
      <c r="B514" s="7" t="n"/>
      <c r="C514" s="8" t="n"/>
      <c r="D514" s="21" t="n"/>
      <c r="E514" s="22" t="n"/>
      <c r="F514" s="22">
        <f>IFERROR(+VLOOKUP(D514,Master!B:C,2,0),"")</f>
        <v/>
      </c>
      <c r="G514" s="23" t="n"/>
      <c r="H514" s="23">
        <f>+E514*G514</f>
        <v/>
      </c>
    </row>
    <row r="515">
      <c r="A515" s="8" t="n"/>
      <c r="B515" s="7" t="n"/>
      <c r="C515" s="8" t="n"/>
      <c r="D515" s="21" t="n"/>
      <c r="E515" s="22" t="n"/>
      <c r="F515" s="22">
        <f>IFERROR(+VLOOKUP(D515,Master!B:C,2,0),"")</f>
        <v/>
      </c>
      <c r="G515" s="23" t="n"/>
      <c r="H515" s="23">
        <f>+E515*G515</f>
        <v/>
      </c>
    </row>
    <row r="516">
      <c r="A516" s="8" t="n"/>
      <c r="B516" s="7" t="n"/>
      <c r="C516" s="8" t="n"/>
      <c r="D516" s="21" t="n"/>
      <c r="E516" s="22" t="n"/>
      <c r="F516" s="22">
        <f>IFERROR(+VLOOKUP(D516,Master!B:C,2,0),"")</f>
        <v/>
      </c>
      <c r="G516" s="23" t="n"/>
      <c r="H516" s="23">
        <f>+E516*G516</f>
        <v/>
      </c>
    </row>
    <row r="517">
      <c r="A517" s="8" t="n"/>
      <c r="B517" s="7" t="n"/>
      <c r="C517" s="8" t="n"/>
      <c r="D517" s="21" t="n"/>
      <c r="E517" s="22" t="n"/>
      <c r="F517" s="22">
        <f>IFERROR(+VLOOKUP(D517,Master!B:C,2,0),"")</f>
        <v/>
      </c>
      <c r="G517" s="23" t="n"/>
      <c r="H517" s="23">
        <f>+E517*G517</f>
        <v/>
      </c>
    </row>
    <row r="518">
      <c r="A518" s="8" t="n"/>
      <c r="B518" s="7" t="n"/>
      <c r="C518" s="8" t="n"/>
      <c r="D518" s="21" t="n"/>
      <c r="E518" s="22" t="n"/>
      <c r="F518" s="22">
        <f>IFERROR(+VLOOKUP(D518,Master!B:C,2,0),"")</f>
        <v/>
      </c>
      <c r="G518" s="23" t="n"/>
      <c r="H518" s="23">
        <f>+E518*G518</f>
        <v/>
      </c>
    </row>
    <row r="519">
      <c r="A519" s="8" t="n"/>
      <c r="B519" s="7" t="n"/>
      <c r="C519" s="8" t="n"/>
      <c r="D519" s="21" t="n"/>
      <c r="E519" s="22" t="n"/>
      <c r="F519" s="22">
        <f>IFERROR(+VLOOKUP(D519,Master!B:C,2,0),"")</f>
        <v/>
      </c>
      <c r="G519" s="23" t="n"/>
      <c r="H519" s="23">
        <f>+E519*G519</f>
        <v/>
      </c>
    </row>
    <row r="520">
      <c r="A520" s="8" t="n"/>
      <c r="B520" s="7" t="n"/>
      <c r="C520" s="8" t="n"/>
      <c r="D520" s="21" t="n"/>
      <c r="E520" s="22" t="n"/>
      <c r="F520" s="22">
        <f>IFERROR(+VLOOKUP(D520,Master!B:C,2,0),"")</f>
        <v/>
      </c>
      <c r="G520" s="23" t="n"/>
      <c r="H520" s="23">
        <f>+E520*G520</f>
        <v/>
      </c>
    </row>
    <row r="521">
      <c r="A521" s="8" t="n"/>
      <c r="B521" s="7" t="n"/>
      <c r="C521" s="8" t="n"/>
      <c r="D521" s="21" t="n"/>
      <c r="E521" s="22" t="n"/>
      <c r="F521" s="22">
        <f>IFERROR(+VLOOKUP(D521,Master!B:C,2,0),"")</f>
        <v/>
      </c>
      <c r="G521" s="23" t="n"/>
      <c r="H521" s="23">
        <f>+E521*G521</f>
        <v/>
      </c>
    </row>
    <row r="522">
      <c r="A522" s="8" t="n"/>
      <c r="B522" s="7" t="n"/>
      <c r="C522" s="8" t="n"/>
      <c r="D522" s="21" t="n"/>
      <c r="E522" s="22" t="n"/>
      <c r="F522" s="22">
        <f>IFERROR(+VLOOKUP(D522,Master!B:C,2,0),"")</f>
        <v/>
      </c>
      <c r="G522" s="23" t="n"/>
      <c r="H522" s="23">
        <f>+E522*G522</f>
        <v/>
      </c>
    </row>
    <row r="523">
      <c r="A523" s="8" t="n"/>
      <c r="B523" s="7" t="n"/>
      <c r="C523" s="8" t="n"/>
      <c r="D523" s="21" t="n"/>
      <c r="E523" s="22" t="n"/>
      <c r="F523" s="22">
        <f>IFERROR(+VLOOKUP(D523,Master!B:C,2,0),"")</f>
        <v/>
      </c>
      <c r="G523" s="23" t="n"/>
      <c r="H523" s="23">
        <f>+E523*G523</f>
        <v/>
      </c>
    </row>
    <row r="524">
      <c r="A524" s="8" t="n"/>
      <c r="B524" s="7" t="n"/>
      <c r="C524" s="8" t="n"/>
      <c r="D524" s="21" t="n"/>
      <c r="E524" s="22" t="n"/>
      <c r="F524" s="22">
        <f>IFERROR(+VLOOKUP(D524,Master!B:C,2,0),"")</f>
        <v/>
      </c>
      <c r="G524" s="23" t="n"/>
      <c r="H524" s="23">
        <f>+E524*G524</f>
        <v/>
      </c>
    </row>
    <row r="525">
      <c r="A525" s="8" t="n"/>
      <c r="B525" s="7" t="n"/>
      <c r="C525" s="8" t="n"/>
      <c r="D525" s="21" t="n"/>
      <c r="E525" s="22" t="n"/>
      <c r="F525" s="22">
        <f>IFERROR(+VLOOKUP(D525,Master!B:C,2,0),"")</f>
        <v/>
      </c>
      <c r="G525" s="23" t="n"/>
      <c r="H525" s="23">
        <f>+E525*G525</f>
        <v/>
      </c>
    </row>
    <row r="526">
      <c r="A526" s="8" t="n"/>
      <c r="B526" s="7" t="n"/>
      <c r="C526" s="8" t="n"/>
      <c r="D526" s="21" t="n"/>
      <c r="E526" s="22" t="n"/>
      <c r="F526" s="22">
        <f>IFERROR(+VLOOKUP(D526,Master!B:C,2,0),"")</f>
        <v/>
      </c>
      <c r="G526" s="23" t="n"/>
      <c r="H526" s="23">
        <f>+E526*G526</f>
        <v/>
      </c>
    </row>
    <row r="527">
      <c r="A527" s="8" t="n"/>
      <c r="B527" s="7" t="n"/>
      <c r="C527" s="8" t="n"/>
      <c r="D527" s="21" t="n"/>
      <c r="E527" s="22" t="n"/>
      <c r="F527" s="22">
        <f>IFERROR(+VLOOKUP(D527,Master!B:C,2,0),"")</f>
        <v/>
      </c>
      <c r="G527" s="23" t="n"/>
      <c r="H527" s="23">
        <f>+E527*G527</f>
        <v/>
      </c>
    </row>
    <row r="528">
      <c r="A528" s="8" t="n"/>
      <c r="B528" s="7" t="n"/>
      <c r="C528" s="8" t="n"/>
      <c r="D528" s="21" t="n"/>
      <c r="E528" s="22" t="n"/>
      <c r="F528" s="22">
        <f>IFERROR(+VLOOKUP(D528,Master!B:C,2,0),"")</f>
        <v/>
      </c>
      <c r="G528" s="23" t="n"/>
      <c r="H528" s="23">
        <f>+E528*G528</f>
        <v/>
      </c>
    </row>
    <row r="529">
      <c r="A529" s="8" t="n"/>
      <c r="B529" s="7" t="n"/>
      <c r="C529" s="8" t="n"/>
      <c r="D529" s="21" t="n"/>
      <c r="E529" s="22" t="n"/>
      <c r="F529" s="22">
        <f>IFERROR(+VLOOKUP(D529,Master!B:C,2,0),"")</f>
        <v/>
      </c>
      <c r="G529" s="23" t="n"/>
      <c r="H529" s="23">
        <f>+E529*G529</f>
        <v/>
      </c>
    </row>
    <row r="530">
      <c r="A530" s="8" t="n"/>
      <c r="B530" s="7" t="n"/>
      <c r="C530" s="8" t="n"/>
      <c r="D530" s="21" t="n"/>
      <c r="E530" s="22" t="n"/>
      <c r="F530" s="22">
        <f>IFERROR(+VLOOKUP(D530,Master!B:C,2,0),"")</f>
        <v/>
      </c>
      <c r="G530" s="23" t="n"/>
      <c r="H530" s="23">
        <f>+E530*G530</f>
        <v/>
      </c>
    </row>
    <row r="531">
      <c r="A531" s="8" t="n"/>
      <c r="B531" s="7" t="n"/>
      <c r="C531" s="8" t="n"/>
      <c r="D531" s="21" t="n"/>
      <c r="E531" s="22" t="n"/>
      <c r="F531" s="22">
        <f>IFERROR(+VLOOKUP(D531,Master!B:C,2,0),"")</f>
        <v/>
      </c>
      <c r="G531" s="23" t="n"/>
      <c r="H531" s="23">
        <f>+E531*G531</f>
        <v/>
      </c>
    </row>
    <row r="532">
      <c r="A532" s="8" t="n"/>
      <c r="B532" s="7" t="n"/>
      <c r="C532" s="8" t="n"/>
      <c r="D532" s="21" t="n"/>
      <c r="E532" s="22" t="n"/>
      <c r="F532" s="22">
        <f>IFERROR(+VLOOKUP(D532,Master!B:C,2,0),"")</f>
        <v/>
      </c>
      <c r="G532" s="23" t="n"/>
      <c r="H532" s="23">
        <f>+E532*G532</f>
        <v/>
      </c>
    </row>
    <row r="533">
      <c r="A533" s="8" t="n"/>
      <c r="B533" s="7" t="n"/>
      <c r="C533" s="8" t="n"/>
      <c r="D533" s="21" t="n"/>
      <c r="E533" s="22" t="n"/>
      <c r="F533" s="22">
        <f>IFERROR(+VLOOKUP(D533,Master!B:C,2,0),"")</f>
        <v/>
      </c>
      <c r="G533" s="23" t="n"/>
      <c r="H533" s="23">
        <f>+E533*G533</f>
        <v/>
      </c>
    </row>
    <row r="534">
      <c r="A534" s="8" t="n"/>
      <c r="B534" s="7" t="n"/>
      <c r="C534" s="8" t="n"/>
      <c r="D534" s="21" t="n"/>
      <c r="E534" s="22" t="n"/>
      <c r="F534" s="22">
        <f>IFERROR(+VLOOKUP(D534,Master!B:C,2,0),"")</f>
        <v/>
      </c>
      <c r="G534" s="23" t="n"/>
      <c r="H534" s="23">
        <f>+E534*G534</f>
        <v/>
      </c>
    </row>
    <row r="535">
      <c r="A535" s="8" t="n"/>
      <c r="B535" s="7" t="n"/>
      <c r="C535" s="8" t="n"/>
      <c r="D535" s="21" t="n"/>
      <c r="E535" s="22" t="n"/>
      <c r="F535" s="22">
        <f>IFERROR(+VLOOKUP(D535,Master!B:C,2,0),"")</f>
        <v/>
      </c>
      <c r="G535" s="23" t="n"/>
      <c r="H535" s="23">
        <f>+E535*G535</f>
        <v/>
      </c>
    </row>
    <row r="536">
      <c r="A536" s="8" t="n"/>
      <c r="B536" s="7" t="n"/>
      <c r="C536" s="8" t="n"/>
      <c r="D536" s="21" t="n"/>
      <c r="E536" s="22" t="n"/>
      <c r="F536" s="22">
        <f>IFERROR(+VLOOKUP(D536,Master!B:C,2,0),"")</f>
        <v/>
      </c>
      <c r="G536" s="23" t="n"/>
      <c r="H536" s="23">
        <f>+E536*G536</f>
        <v/>
      </c>
    </row>
    <row r="537">
      <c r="A537" s="8" t="n"/>
      <c r="B537" s="7" t="n"/>
      <c r="C537" s="8" t="n"/>
      <c r="D537" s="21" t="n"/>
      <c r="E537" s="22" t="n"/>
      <c r="F537" s="22">
        <f>IFERROR(+VLOOKUP(D537,Master!B:C,2,0),"")</f>
        <v/>
      </c>
      <c r="G537" s="23" t="n"/>
      <c r="H537" s="23">
        <f>+E537*G537</f>
        <v/>
      </c>
    </row>
    <row r="538">
      <c r="A538" s="8" t="n"/>
      <c r="B538" s="7" t="n"/>
      <c r="C538" s="8" t="n"/>
      <c r="D538" s="21" t="n"/>
      <c r="E538" s="22" t="n"/>
      <c r="F538" s="22">
        <f>IFERROR(+VLOOKUP(D538,Master!B:C,2,0),"")</f>
        <v/>
      </c>
      <c r="G538" s="23" t="n"/>
      <c r="H538" s="23">
        <f>+E538*G538</f>
        <v/>
      </c>
    </row>
    <row r="539">
      <c r="A539" s="8" t="n"/>
      <c r="B539" s="7" t="n"/>
      <c r="C539" s="8" t="n"/>
      <c r="D539" s="21" t="n"/>
      <c r="E539" s="22" t="n"/>
      <c r="F539" s="22">
        <f>IFERROR(+VLOOKUP(D539,Master!B:C,2,0),"")</f>
        <v/>
      </c>
      <c r="G539" s="23" t="n"/>
      <c r="H539" s="23">
        <f>+E539*G539</f>
        <v/>
      </c>
    </row>
    <row r="540">
      <c r="A540" s="8" t="n"/>
      <c r="B540" s="7" t="n"/>
      <c r="C540" s="8" t="n"/>
      <c r="D540" s="21" t="n"/>
      <c r="E540" s="22" t="n"/>
      <c r="F540" s="22">
        <f>IFERROR(+VLOOKUP(D540,Master!B:C,2,0),"")</f>
        <v/>
      </c>
      <c r="G540" s="23" t="n"/>
      <c r="H540" s="23">
        <f>+E540*G540</f>
        <v/>
      </c>
    </row>
    <row r="541">
      <c r="A541" s="8" t="n"/>
      <c r="B541" s="7" t="n"/>
      <c r="C541" s="8" t="n"/>
      <c r="D541" s="21" t="n"/>
      <c r="E541" s="22" t="n"/>
      <c r="F541" s="22">
        <f>IFERROR(+VLOOKUP(D541,Master!B:C,2,0),"")</f>
        <v/>
      </c>
      <c r="G541" s="23" t="n"/>
      <c r="H541" s="23">
        <f>+E541*G541</f>
        <v/>
      </c>
    </row>
    <row r="542">
      <c r="A542" s="8" t="n"/>
      <c r="B542" s="7" t="n"/>
      <c r="C542" s="8" t="n"/>
      <c r="D542" s="21" t="n"/>
      <c r="E542" s="22" t="n"/>
      <c r="F542" s="22">
        <f>IFERROR(+VLOOKUP(D542,Master!B:C,2,0),"")</f>
        <v/>
      </c>
      <c r="G542" s="23" t="n"/>
      <c r="H542" s="23">
        <f>+E542*G542</f>
        <v/>
      </c>
    </row>
    <row r="543">
      <c r="A543" s="8" t="n"/>
      <c r="B543" s="7" t="n"/>
      <c r="C543" s="8" t="n"/>
      <c r="D543" s="21" t="n"/>
      <c r="E543" s="22" t="n"/>
      <c r="F543" s="22">
        <f>IFERROR(+VLOOKUP(D543,Master!B:C,2,0),"")</f>
        <v/>
      </c>
      <c r="G543" s="23" t="n"/>
      <c r="H543" s="23">
        <f>+E543*G543</f>
        <v/>
      </c>
    </row>
    <row r="544">
      <c r="A544" s="8" t="n"/>
      <c r="B544" s="7" t="n"/>
      <c r="C544" s="8" t="n"/>
      <c r="D544" s="21" t="n"/>
      <c r="E544" s="22" t="n"/>
      <c r="F544" s="22">
        <f>IFERROR(+VLOOKUP(D544,Master!B:C,2,0),"")</f>
        <v/>
      </c>
      <c r="G544" s="23" t="n"/>
      <c r="H544" s="23">
        <f>+E544*G544</f>
        <v/>
      </c>
    </row>
    <row r="545">
      <c r="A545" s="8" t="n"/>
      <c r="B545" s="7" t="n"/>
      <c r="C545" s="8" t="n"/>
      <c r="D545" s="21" t="n"/>
      <c r="E545" s="22" t="n"/>
      <c r="F545" s="22">
        <f>IFERROR(+VLOOKUP(D545,Master!B:C,2,0),"")</f>
        <v/>
      </c>
      <c r="G545" s="23" t="n"/>
      <c r="H545" s="23">
        <f>+E545*G545</f>
        <v/>
      </c>
    </row>
    <row r="546">
      <c r="A546" s="8" t="n"/>
      <c r="B546" s="7" t="n"/>
      <c r="C546" s="8" t="n"/>
      <c r="D546" s="21" t="n"/>
      <c r="E546" s="22" t="n"/>
      <c r="F546" s="22">
        <f>IFERROR(+VLOOKUP(D546,Master!B:C,2,0),"")</f>
        <v/>
      </c>
      <c r="G546" s="23" t="n"/>
      <c r="H546" s="23">
        <f>+E546*G546</f>
        <v/>
      </c>
    </row>
    <row r="547">
      <c r="A547" s="8" t="n"/>
      <c r="B547" s="7" t="n"/>
      <c r="C547" s="8" t="n"/>
      <c r="D547" s="21" t="n"/>
      <c r="E547" s="22" t="n"/>
      <c r="F547" s="22">
        <f>IFERROR(+VLOOKUP(D547,Master!B:C,2,0),"")</f>
        <v/>
      </c>
      <c r="G547" s="23" t="n"/>
      <c r="H547" s="23">
        <f>+E547*G547</f>
        <v/>
      </c>
    </row>
    <row r="548">
      <c r="A548" s="8" t="n"/>
      <c r="B548" s="7" t="n"/>
      <c r="C548" s="8" t="n"/>
      <c r="D548" s="21" t="n"/>
      <c r="E548" s="22" t="n"/>
      <c r="F548" s="22">
        <f>IFERROR(+VLOOKUP(D548,Master!B:C,2,0),"")</f>
        <v/>
      </c>
      <c r="G548" s="23" t="n"/>
      <c r="H548" s="23">
        <f>+E548*G548</f>
        <v/>
      </c>
    </row>
    <row r="549">
      <c r="A549" s="8" t="n"/>
      <c r="B549" s="7" t="n"/>
      <c r="C549" s="8" t="n"/>
      <c r="D549" s="21" t="n"/>
      <c r="E549" s="22" t="n"/>
      <c r="F549" s="22">
        <f>IFERROR(+VLOOKUP(D549,Master!B:C,2,0),"")</f>
        <v/>
      </c>
      <c r="G549" s="23" t="n"/>
      <c r="H549" s="23">
        <f>+E549*G549</f>
        <v/>
      </c>
    </row>
    <row r="550">
      <c r="A550" s="8" t="n"/>
      <c r="B550" s="7" t="n"/>
      <c r="C550" s="8" t="n"/>
      <c r="D550" s="21" t="n"/>
      <c r="E550" s="22" t="n"/>
      <c r="F550" s="22">
        <f>IFERROR(+VLOOKUP(D550,Master!B:C,2,0),"")</f>
        <v/>
      </c>
      <c r="G550" s="23" t="n"/>
      <c r="H550" s="23">
        <f>+E550*G550</f>
        <v/>
      </c>
    </row>
    <row r="551">
      <c r="A551" s="8" t="n"/>
      <c r="B551" s="7" t="n"/>
      <c r="C551" s="8" t="n"/>
      <c r="D551" s="21" t="n"/>
      <c r="E551" s="22" t="n"/>
      <c r="F551" s="22">
        <f>IFERROR(+VLOOKUP(D551,Master!B:C,2,0),"")</f>
        <v/>
      </c>
      <c r="G551" s="23" t="n"/>
      <c r="H551" s="23">
        <f>+E551*G551</f>
        <v/>
      </c>
    </row>
    <row r="552">
      <c r="A552" s="8" t="n"/>
      <c r="B552" s="7" t="n"/>
      <c r="C552" s="8" t="n"/>
      <c r="D552" s="21" t="n"/>
      <c r="E552" s="22" t="n"/>
      <c r="F552" s="22">
        <f>IFERROR(+VLOOKUP(D552,Master!B:C,2,0),"")</f>
        <v/>
      </c>
      <c r="G552" s="23" t="n"/>
      <c r="H552" s="23">
        <f>+E552*G552</f>
        <v/>
      </c>
    </row>
    <row r="553">
      <c r="A553" s="8" t="n"/>
      <c r="B553" s="7" t="n"/>
      <c r="C553" s="8" t="n"/>
      <c r="D553" s="21" t="n"/>
      <c r="E553" s="22" t="n"/>
      <c r="F553" s="22">
        <f>IFERROR(+VLOOKUP(D553,Master!B:C,2,0),"")</f>
        <v/>
      </c>
      <c r="G553" s="23" t="n"/>
      <c r="H553" s="23">
        <f>+E553*G553</f>
        <v/>
      </c>
    </row>
    <row r="554">
      <c r="A554" s="8" t="n"/>
      <c r="B554" s="7" t="n"/>
      <c r="C554" s="8" t="n"/>
      <c r="D554" s="21" t="n"/>
      <c r="E554" s="22" t="n"/>
      <c r="F554" s="22">
        <f>IFERROR(+VLOOKUP(D554,Master!B:C,2,0),"")</f>
        <v/>
      </c>
      <c r="G554" s="23" t="n"/>
      <c r="H554" s="23">
        <f>+E554*G554</f>
        <v/>
      </c>
    </row>
    <row r="555">
      <c r="A555" s="8" t="n"/>
      <c r="B555" s="7" t="n"/>
      <c r="C555" s="8" t="n"/>
      <c r="D555" s="21" t="n"/>
      <c r="E555" s="22" t="n"/>
      <c r="F555" s="22">
        <f>IFERROR(+VLOOKUP(D555,Master!B:C,2,0),"")</f>
        <v/>
      </c>
      <c r="G555" s="23" t="n"/>
      <c r="H555" s="23">
        <f>+E555*G555</f>
        <v/>
      </c>
    </row>
    <row r="556">
      <c r="A556" s="8" t="n"/>
      <c r="B556" s="7" t="n"/>
      <c r="C556" s="8" t="n"/>
      <c r="D556" s="21" t="n"/>
      <c r="E556" s="22" t="n"/>
      <c r="F556" s="22">
        <f>IFERROR(+VLOOKUP(D556,Master!B:C,2,0),"")</f>
        <v/>
      </c>
      <c r="G556" s="23" t="n"/>
      <c r="H556" s="23">
        <f>+E556*G556</f>
        <v/>
      </c>
    </row>
    <row r="557">
      <c r="A557" s="8" t="n"/>
      <c r="B557" s="7" t="n"/>
      <c r="C557" s="8" t="n"/>
      <c r="D557" s="21" t="n"/>
      <c r="E557" s="22" t="n"/>
      <c r="F557" s="22">
        <f>IFERROR(+VLOOKUP(D557,Master!B:C,2,0),"")</f>
        <v/>
      </c>
      <c r="G557" s="23" t="n"/>
      <c r="H557" s="23">
        <f>+E557*G557</f>
        <v/>
      </c>
    </row>
    <row r="558">
      <c r="A558" s="8" t="n"/>
      <c r="B558" s="7" t="n"/>
      <c r="C558" s="8" t="n"/>
      <c r="D558" s="21" t="n"/>
      <c r="E558" s="22" t="n"/>
      <c r="F558" s="22">
        <f>IFERROR(+VLOOKUP(D558,Master!B:C,2,0),"")</f>
        <v/>
      </c>
      <c r="G558" s="23" t="n"/>
      <c r="H558" s="23">
        <f>+E558*G558</f>
        <v/>
      </c>
    </row>
    <row r="559">
      <c r="A559" s="8" t="n"/>
      <c r="B559" s="7" t="n"/>
      <c r="C559" s="8" t="n"/>
      <c r="D559" s="21" t="n"/>
      <c r="E559" s="22" t="n"/>
      <c r="F559" s="22">
        <f>IFERROR(+VLOOKUP(D559,Master!B:C,2,0),"")</f>
        <v/>
      </c>
      <c r="G559" s="23" t="n"/>
      <c r="H559" s="23">
        <f>+E559*G559</f>
        <v/>
      </c>
    </row>
    <row r="560">
      <c r="A560" s="8" t="n"/>
      <c r="B560" s="7" t="n"/>
      <c r="C560" s="8" t="n"/>
      <c r="D560" s="21" t="n"/>
      <c r="E560" s="22" t="n"/>
      <c r="F560" s="22">
        <f>IFERROR(+VLOOKUP(D560,Master!B:C,2,0),"")</f>
        <v/>
      </c>
      <c r="G560" s="23" t="n"/>
      <c r="H560" s="23">
        <f>+E560*G560</f>
        <v/>
      </c>
    </row>
    <row r="561">
      <c r="A561" s="8" t="n"/>
      <c r="B561" s="7" t="n"/>
      <c r="C561" s="8" t="n"/>
      <c r="D561" s="21" t="n"/>
      <c r="E561" s="22" t="n"/>
      <c r="F561" s="22">
        <f>IFERROR(+VLOOKUP(D561,Master!B:C,2,0),"")</f>
        <v/>
      </c>
      <c r="G561" s="23" t="n"/>
      <c r="H561" s="23">
        <f>+E561*G561</f>
        <v/>
      </c>
    </row>
    <row r="562">
      <c r="A562" s="8" t="n"/>
      <c r="B562" s="7" t="n"/>
      <c r="C562" s="8" t="n"/>
      <c r="D562" s="21" t="n"/>
      <c r="E562" s="22" t="n"/>
      <c r="F562" s="22">
        <f>IFERROR(+VLOOKUP(D562,Master!B:C,2,0),"")</f>
        <v/>
      </c>
      <c r="G562" s="23" t="n"/>
      <c r="H562" s="23">
        <f>+E562*G562</f>
        <v/>
      </c>
    </row>
    <row r="563">
      <c r="A563" s="8" t="n"/>
      <c r="B563" s="7" t="n"/>
      <c r="C563" s="8" t="n"/>
      <c r="D563" s="21" t="n"/>
      <c r="E563" s="22" t="n"/>
      <c r="F563" s="22">
        <f>IFERROR(+VLOOKUP(D563,Master!B:C,2,0),"")</f>
        <v/>
      </c>
      <c r="G563" s="23" t="n"/>
      <c r="H563" s="23">
        <f>+E563*G563</f>
        <v/>
      </c>
    </row>
    <row r="564">
      <c r="A564" s="8" t="n"/>
      <c r="B564" s="7" t="n"/>
      <c r="C564" s="8" t="n"/>
      <c r="D564" s="21" t="n"/>
      <c r="E564" s="22" t="n"/>
      <c r="F564" s="22">
        <f>IFERROR(+VLOOKUP(D564,Master!B:C,2,0),"")</f>
        <v/>
      </c>
      <c r="G564" s="23" t="n"/>
      <c r="H564" s="23">
        <f>+E564*G564</f>
        <v/>
      </c>
    </row>
    <row r="565">
      <c r="A565" s="8" t="n"/>
      <c r="B565" s="7" t="n"/>
      <c r="C565" s="8" t="n"/>
      <c r="D565" s="21" t="n"/>
      <c r="E565" s="22" t="n"/>
      <c r="F565" s="22">
        <f>IFERROR(+VLOOKUP(D565,Master!B:C,2,0),"")</f>
        <v/>
      </c>
      <c r="G565" s="23" t="n"/>
      <c r="H565" s="23">
        <f>+E565*G565</f>
        <v/>
      </c>
    </row>
    <row r="566">
      <c r="A566" s="8" t="n"/>
      <c r="B566" s="7" t="n"/>
      <c r="C566" s="8" t="n"/>
      <c r="D566" s="21" t="n"/>
      <c r="E566" s="22" t="n"/>
      <c r="F566" s="22">
        <f>IFERROR(+VLOOKUP(D566,Master!B:C,2,0),"")</f>
        <v/>
      </c>
      <c r="G566" s="23" t="n"/>
      <c r="H566" s="23">
        <f>+E566*G566</f>
        <v/>
      </c>
    </row>
    <row r="567">
      <c r="A567" s="8" t="n"/>
      <c r="B567" s="7" t="n"/>
      <c r="C567" s="8" t="n"/>
      <c r="D567" s="21" t="n"/>
      <c r="E567" s="22" t="n"/>
      <c r="F567" s="22">
        <f>IFERROR(+VLOOKUP(D567,Master!B:C,2,0),"")</f>
        <v/>
      </c>
      <c r="G567" s="23" t="n"/>
      <c r="H567" s="23">
        <f>+E567*G567</f>
        <v/>
      </c>
    </row>
    <row r="568">
      <c r="A568" s="8" t="n"/>
      <c r="B568" s="7" t="n"/>
      <c r="C568" s="8" t="n"/>
      <c r="D568" s="21" t="n"/>
      <c r="E568" s="22" t="n"/>
      <c r="F568" s="22">
        <f>IFERROR(+VLOOKUP(D568,Master!B:C,2,0),"")</f>
        <v/>
      </c>
      <c r="G568" s="23" t="n"/>
      <c r="H568" s="23">
        <f>+E568*G568</f>
        <v/>
      </c>
    </row>
    <row r="569">
      <c r="A569" s="8" t="n"/>
      <c r="B569" s="7" t="n"/>
      <c r="C569" s="8" t="n"/>
      <c r="D569" s="21" t="n"/>
      <c r="E569" s="22" t="n"/>
      <c r="F569" s="22">
        <f>IFERROR(+VLOOKUP(D569,Master!B:C,2,0),"")</f>
        <v/>
      </c>
      <c r="G569" s="23" t="n"/>
      <c r="H569" s="23">
        <f>+E569*G569</f>
        <v/>
      </c>
    </row>
    <row r="570">
      <c r="A570" s="8" t="n"/>
      <c r="B570" s="7" t="n"/>
      <c r="C570" s="8" t="n"/>
      <c r="D570" s="21" t="n"/>
      <c r="E570" s="22" t="n"/>
      <c r="F570" s="22">
        <f>IFERROR(+VLOOKUP(D570,Master!B:C,2,0),"")</f>
        <v/>
      </c>
      <c r="G570" s="23" t="n"/>
      <c r="H570" s="23">
        <f>+E570*G570</f>
        <v/>
      </c>
    </row>
    <row r="571">
      <c r="A571" s="8" t="n"/>
      <c r="B571" s="7" t="n"/>
      <c r="C571" s="8" t="n"/>
      <c r="D571" s="21" t="n"/>
      <c r="E571" s="22" t="n"/>
      <c r="F571" s="22">
        <f>IFERROR(+VLOOKUP(D571,Master!B:C,2,0),"")</f>
        <v/>
      </c>
      <c r="G571" s="23" t="n"/>
      <c r="H571" s="23">
        <f>+E571*G571</f>
        <v/>
      </c>
    </row>
    <row r="572">
      <c r="A572" s="8" t="n"/>
      <c r="B572" s="7" t="n"/>
      <c r="C572" s="8" t="n"/>
      <c r="D572" s="21" t="n"/>
      <c r="E572" s="22" t="n"/>
      <c r="F572" s="22">
        <f>IFERROR(+VLOOKUP(D572,Master!B:C,2,0),"")</f>
        <v/>
      </c>
      <c r="G572" s="23" t="n"/>
      <c r="H572" s="23">
        <f>+E572*G572</f>
        <v/>
      </c>
    </row>
    <row r="573">
      <c r="A573" s="8" t="n"/>
      <c r="B573" s="7" t="n"/>
      <c r="C573" s="8" t="n"/>
      <c r="D573" s="21" t="n"/>
      <c r="E573" s="22" t="n"/>
      <c r="F573" s="22">
        <f>IFERROR(+VLOOKUP(D573,Master!B:C,2,0),"")</f>
        <v/>
      </c>
      <c r="G573" s="23" t="n"/>
      <c r="H573" s="23">
        <f>+E573*G573</f>
        <v/>
      </c>
    </row>
    <row r="574">
      <c r="A574" s="8" t="n"/>
      <c r="B574" s="7" t="n"/>
      <c r="C574" s="8" t="n"/>
      <c r="D574" s="21" t="n"/>
      <c r="E574" s="22" t="n"/>
      <c r="F574" s="22">
        <f>IFERROR(+VLOOKUP(D574,Master!B:C,2,0),"")</f>
        <v/>
      </c>
      <c r="G574" s="23" t="n"/>
      <c r="H574" s="23">
        <f>+E574*G574</f>
        <v/>
      </c>
    </row>
    <row r="575">
      <c r="A575" s="8" t="n"/>
      <c r="B575" s="7" t="n"/>
      <c r="C575" s="8" t="n"/>
      <c r="D575" s="21" t="n"/>
      <c r="E575" s="22" t="n"/>
      <c r="F575" s="22">
        <f>IFERROR(+VLOOKUP(D575,Master!B:C,2,0),"")</f>
        <v/>
      </c>
      <c r="G575" s="23" t="n"/>
      <c r="H575" s="23">
        <f>+E575*G575</f>
        <v/>
      </c>
    </row>
    <row r="576">
      <c r="A576" s="8" t="n"/>
      <c r="B576" s="7" t="n"/>
      <c r="C576" s="8" t="n"/>
      <c r="D576" s="21" t="n"/>
      <c r="E576" s="22" t="n"/>
      <c r="F576" s="22">
        <f>IFERROR(+VLOOKUP(D576,Master!B:C,2,0),"")</f>
        <v/>
      </c>
      <c r="G576" s="23" t="n"/>
      <c r="H576" s="23">
        <f>+E576*G576</f>
        <v/>
      </c>
    </row>
    <row r="577">
      <c r="A577" s="8" t="n"/>
      <c r="B577" s="7" t="n"/>
      <c r="C577" s="8" t="n"/>
      <c r="D577" s="21" t="n"/>
      <c r="E577" s="22" t="n"/>
      <c r="F577" s="22">
        <f>IFERROR(+VLOOKUP(D577,Master!B:C,2,0),"")</f>
        <v/>
      </c>
      <c r="G577" s="23" t="n"/>
      <c r="H577" s="23">
        <f>+E577*G577</f>
        <v/>
      </c>
    </row>
    <row r="578">
      <c r="A578" s="8" t="n"/>
      <c r="B578" s="7" t="n"/>
      <c r="C578" s="8" t="n"/>
      <c r="D578" s="21" t="n"/>
      <c r="E578" s="22" t="n"/>
      <c r="F578" s="22">
        <f>IFERROR(+VLOOKUP(D578,Master!B:C,2,0),"")</f>
        <v/>
      </c>
      <c r="G578" s="23" t="n"/>
      <c r="H578" s="23">
        <f>+E578*G578</f>
        <v/>
      </c>
    </row>
    <row r="579">
      <c r="A579" s="8" t="n"/>
      <c r="B579" s="7" t="n"/>
      <c r="C579" s="8" t="n"/>
      <c r="D579" s="21" t="n"/>
      <c r="E579" s="22" t="n"/>
      <c r="F579" s="22">
        <f>IFERROR(+VLOOKUP(D579,Master!B:C,2,0),"")</f>
        <v/>
      </c>
      <c r="G579" s="23" t="n"/>
      <c r="H579" s="23">
        <f>+E579*G579</f>
        <v/>
      </c>
    </row>
    <row r="580">
      <c r="A580" s="8" t="n"/>
      <c r="B580" s="7" t="n"/>
      <c r="C580" s="8" t="n"/>
      <c r="D580" s="21" t="n"/>
      <c r="E580" s="22" t="n"/>
      <c r="F580" s="22">
        <f>IFERROR(+VLOOKUP(D580,Master!B:C,2,0),"")</f>
        <v/>
      </c>
      <c r="G580" s="23" t="n"/>
      <c r="H580" s="23">
        <f>+E580*G580</f>
        <v/>
      </c>
    </row>
    <row r="581">
      <c r="A581" s="8" t="n"/>
      <c r="B581" s="7" t="n"/>
      <c r="C581" s="8" t="n"/>
      <c r="D581" s="21" t="n"/>
      <c r="E581" s="22" t="n"/>
      <c r="F581" s="22">
        <f>IFERROR(+VLOOKUP(D581,Master!B:C,2,0),"")</f>
        <v/>
      </c>
      <c r="G581" s="23" t="n"/>
      <c r="H581" s="23">
        <f>+E581*G581</f>
        <v/>
      </c>
    </row>
    <row r="582">
      <c r="A582" s="8" t="n"/>
      <c r="B582" s="7" t="n"/>
      <c r="C582" s="8" t="n"/>
      <c r="D582" s="21" t="n"/>
      <c r="E582" s="22" t="n"/>
      <c r="F582" s="22">
        <f>IFERROR(+VLOOKUP(D582,Master!B:C,2,0),"")</f>
        <v/>
      </c>
      <c r="G582" s="23" t="n"/>
      <c r="H582" s="23">
        <f>+E582*G582</f>
        <v/>
      </c>
    </row>
    <row r="583">
      <c r="A583" s="8" t="n"/>
      <c r="B583" s="7" t="n"/>
      <c r="C583" s="8" t="n"/>
      <c r="D583" s="21" t="n"/>
      <c r="E583" s="22" t="n"/>
      <c r="F583" s="22">
        <f>IFERROR(+VLOOKUP(D583,Master!B:C,2,0),"")</f>
        <v/>
      </c>
      <c r="G583" s="23" t="n"/>
      <c r="H583" s="23">
        <f>+E583*G583</f>
        <v/>
      </c>
    </row>
    <row r="584">
      <c r="A584" s="8" t="n"/>
      <c r="B584" s="7" t="n"/>
      <c r="C584" s="8" t="n"/>
      <c r="D584" s="21" t="n"/>
      <c r="E584" s="22" t="n"/>
      <c r="F584" s="22">
        <f>IFERROR(+VLOOKUP(D584,Master!B:C,2,0),"")</f>
        <v/>
      </c>
      <c r="G584" s="23" t="n"/>
      <c r="H584" s="23">
        <f>+E584*G584</f>
        <v/>
      </c>
    </row>
    <row r="585">
      <c r="A585" s="8" t="n"/>
      <c r="B585" s="7" t="n"/>
      <c r="C585" s="8" t="n"/>
      <c r="D585" s="21" t="n"/>
      <c r="E585" s="22" t="n"/>
      <c r="F585" s="22">
        <f>IFERROR(+VLOOKUP(D585,Master!B:C,2,0),"")</f>
        <v/>
      </c>
      <c r="G585" s="23" t="n"/>
      <c r="H585" s="23">
        <f>+E585*G585</f>
        <v/>
      </c>
    </row>
    <row r="586">
      <c r="A586" s="8" t="n"/>
      <c r="B586" s="7" t="n"/>
      <c r="C586" s="8" t="n"/>
      <c r="D586" s="21" t="n"/>
      <c r="E586" s="22" t="n"/>
      <c r="F586" s="22">
        <f>IFERROR(+VLOOKUP(D586,Master!B:C,2,0),"")</f>
        <v/>
      </c>
      <c r="G586" s="23" t="n"/>
      <c r="H586" s="23">
        <f>+E586*G586</f>
        <v/>
      </c>
    </row>
    <row r="587">
      <c r="A587" s="8" t="n"/>
      <c r="B587" s="7" t="n"/>
      <c r="C587" s="8" t="n"/>
      <c r="D587" s="21" t="n"/>
      <c r="E587" s="22" t="n"/>
      <c r="F587" s="22">
        <f>IFERROR(+VLOOKUP(D587,Master!B:C,2,0),"")</f>
        <v/>
      </c>
      <c r="G587" s="23" t="n"/>
      <c r="H587" s="23">
        <f>+E587*G587</f>
        <v/>
      </c>
    </row>
    <row r="588">
      <c r="A588" s="8" t="n"/>
      <c r="B588" s="7" t="n"/>
      <c r="C588" s="8" t="n"/>
      <c r="D588" s="21" t="n"/>
      <c r="E588" s="22" t="n"/>
      <c r="F588" s="22">
        <f>IFERROR(+VLOOKUP(D588,Master!B:C,2,0),"")</f>
        <v/>
      </c>
      <c r="G588" s="23" t="n"/>
      <c r="H588" s="23">
        <f>+E588*G588</f>
        <v/>
      </c>
    </row>
    <row r="589">
      <c r="A589" s="8" t="n"/>
      <c r="B589" s="7" t="n"/>
      <c r="C589" s="8" t="n"/>
      <c r="D589" s="21" t="n"/>
      <c r="E589" s="22" t="n"/>
      <c r="F589" s="22">
        <f>IFERROR(+VLOOKUP(D589,Master!B:C,2,0),"")</f>
        <v/>
      </c>
      <c r="G589" s="23" t="n"/>
      <c r="H589" s="23">
        <f>+E589*G589</f>
        <v/>
      </c>
    </row>
    <row r="590">
      <c r="A590" s="8" t="n"/>
      <c r="B590" s="7" t="n"/>
      <c r="C590" s="8" t="n"/>
      <c r="D590" s="21" t="n"/>
      <c r="E590" s="22" t="n"/>
      <c r="F590" s="22">
        <f>IFERROR(+VLOOKUP(D590,Master!B:C,2,0),"")</f>
        <v/>
      </c>
      <c r="G590" s="23" t="n"/>
      <c r="H590" s="23">
        <f>+E590*G590</f>
        <v/>
      </c>
    </row>
    <row r="591">
      <c r="A591" s="8" t="n"/>
      <c r="B591" s="7" t="n"/>
      <c r="C591" s="8" t="n"/>
      <c r="D591" s="21" t="n"/>
      <c r="E591" s="22" t="n"/>
      <c r="F591" s="22">
        <f>IFERROR(+VLOOKUP(D591,Master!B:C,2,0),"")</f>
        <v/>
      </c>
      <c r="G591" s="23" t="n"/>
      <c r="H591" s="23">
        <f>+E591*G591</f>
        <v/>
      </c>
    </row>
    <row r="592">
      <c r="A592" s="8" t="n"/>
      <c r="B592" s="7" t="n"/>
      <c r="C592" s="8" t="n"/>
      <c r="D592" s="21" t="n"/>
      <c r="E592" s="22" t="n"/>
      <c r="F592" s="22">
        <f>IFERROR(+VLOOKUP(D592,Master!B:C,2,0),"")</f>
        <v/>
      </c>
      <c r="G592" s="23" t="n"/>
      <c r="H592" s="23">
        <f>+E592*G592</f>
        <v/>
      </c>
    </row>
    <row r="593">
      <c r="A593" s="8" t="n"/>
      <c r="B593" s="7" t="n"/>
      <c r="C593" s="8" t="n"/>
      <c r="D593" s="21" t="n"/>
      <c r="E593" s="22" t="n"/>
      <c r="F593" s="22">
        <f>IFERROR(+VLOOKUP(D593,Master!B:C,2,0),"")</f>
        <v/>
      </c>
      <c r="G593" s="23" t="n"/>
      <c r="H593" s="23">
        <f>+E593*G593</f>
        <v/>
      </c>
    </row>
    <row r="594">
      <c r="A594" s="8" t="n"/>
      <c r="B594" s="7" t="n"/>
      <c r="C594" s="8" t="n"/>
      <c r="D594" s="21" t="n"/>
      <c r="E594" s="22" t="n"/>
      <c r="F594" s="22">
        <f>IFERROR(+VLOOKUP(D594,Master!B:C,2,0),"")</f>
        <v/>
      </c>
      <c r="G594" s="23" t="n"/>
      <c r="H594" s="23">
        <f>+E594*G594</f>
        <v/>
      </c>
    </row>
    <row r="595">
      <c r="A595" s="8" t="n"/>
      <c r="B595" s="7" t="n"/>
      <c r="C595" s="8" t="n"/>
      <c r="D595" s="21" t="n"/>
      <c r="E595" s="22" t="n"/>
      <c r="F595" s="22">
        <f>IFERROR(+VLOOKUP(D595,Master!B:C,2,0),"")</f>
        <v/>
      </c>
      <c r="G595" s="23" t="n"/>
      <c r="H595" s="23">
        <f>+E595*G595</f>
        <v/>
      </c>
    </row>
    <row r="596">
      <c r="A596" s="8" t="n"/>
      <c r="B596" s="7" t="n"/>
      <c r="C596" s="8" t="n"/>
      <c r="D596" s="21" t="n"/>
      <c r="E596" s="22" t="n"/>
      <c r="F596" s="22">
        <f>IFERROR(+VLOOKUP(D596,Master!B:C,2,0),"")</f>
        <v/>
      </c>
      <c r="G596" s="23" t="n"/>
      <c r="H596" s="23">
        <f>+E596*G596</f>
        <v/>
      </c>
    </row>
    <row r="597">
      <c r="A597" s="8" t="n"/>
      <c r="B597" s="7" t="n"/>
      <c r="C597" s="8" t="n"/>
      <c r="D597" s="21" t="n"/>
      <c r="E597" s="22" t="n"/>
      <c r="F597" s="22">
        <f>IFERROR(+VLOOKUP(D597,Master!B:C,2,0),"")</f>
        <v/>
      </c>
      <c r="G597" s="23" t="n"/>
      <c r="H597" s="23">
        <f>+E597*G597</f>
        <v/>
      </c>
    </row>
    <row r="598">
      <c r="A598" s="8" t="n"/>
      <c r="B598" s="7" t="n"/>
      <c r="C598" s="8" t="n"/>
      <c r="D598" s="21" t="n"/>
      <c r="E598" s="22" t="n"/>
      <c r="F598" s="22">
        <f>IFERROR(+VLOOKUP(D598,Master!B:C,2,0),"")</f>
        <v/>
      </c>
      <c r="G598" s="23" t="n"/>
      <c r="H598" s="23">
        <f>+E598*G598</f>
        <v/>
      </c>
    </row>
    <row r="599">
      <c r="A599" s="8" t="n"/>
      <c r="B599" s="7" t="n"/>
      <c r="C599" s="8" t="n"/>
      <c r="D599" s="21" t="n"/>
      <c r="E599" s="22" t="n"/>
      <c r="F599" s="22">
        <f>IFERROR(+VLOOKUP(D599,Master!B:C,2,0),"")</f>
        <v/>
      </c>
      <c r="G599" s="23" t="n"/>
      <c r="H599" s="23">
        <f>+E599*G599</f>
        <v/>
      </c>
    </row>
    <row r="600">
      <c r="A600" s="8" t="n"/>
      <c r="B600" s="7" t="n"/>
      <c r="C600" s="8" t="n"/>
      <c r="D600" s="21" t="n"/>
      <c r="E600" s="22" t="n"/>
      <c r="F600" s="22">
        <f>IFERROR(+VLOOKUP(D600,Master!B:C,2,0),"")</f>
        <v/>
      </c>
      <c r="G600" s="23" t="n"/>
      <c r="H600" s="23">
        <f>+E600*G600</f>
        <v/>
      </c>
    </row>
    <row r="601">
      <c r="A601" s="8" t="n"/>
      <c r="B601" s="7" t="n"/>
      <c r="C601" s="8" t="n"/>
      <c r="D601" s="21" t="n"/>
      <c r="E601" s="22" t="n"/>
      <c r="F601" s="22">
        <f>IFERROR(+VLOOKUP(D601,Master!B:C,2,0),"")</f>
        <v/>
      </c>
      <c r="G601" s="23" t="n"/>
      <c r="H601" s="23">
        <f>+E601*G601</f>
        <v/>
      </c>
    </row>
    <row r="602">
      <c r="A602" s="8" t="n"/>
      <c r="B602" s="7" t="n"/>
      <c r="C602" s="8" t="n"/>
      <c r="D602" s="21" t="n"/>
      <c r="E602" s="22" t="n"/>
      <c r="F602" s="22">
        <f>IFERROR(+VLOOKUP(D602,Master!B:C,2,0),"")</f>
        <v/>
      </c>
      <c r="G602" s="23" t="n"/>
      <c r="H602" s="23">
        <f>+E602*G602</f>
        <v/>
      </c>
    </row>
    <row r="603">
      <c r="A603" s="8" t="n"/>
      <c r="B603" s="7" t="n"/>
      <c r="C603" s="8" t="n"/>
      <c r="D603" s="21" t="n"/>
      <c r="E603" s="22" t="n"/>
      <c r="F603" s="22">
        <f>IFERROR(+VLOOKUP(D603,Master!B:C,2,0),"")</f>
        <v/>
      </c>
      <c r="G603" s="23" t="n"/>
      <c r="H603" s="23">
        <f>+E603*G603</f>
        <v/>
      </c>
    </row>
    <row r="604">
      <c r="A604" s="8" t="n"/>
      <c r="B604" s="7" t="n"/>
      <c r="C604" s="8" t="n"/>
      <c r="D604" s="21" t="n"/>
      <c r="E604" s="22" t="n"/>
      <c r="F604" s="22">
        <f>IFERROR(+VLOOKUP(D604,Master!B:C,2,0),"")</f>
        <v/>
      </c>
      <c r="G604" s="23" t="n"/>
      <c r="H604" s="23">
        <f>+E604*G604</f>
        <v/>
      </c>
    </row>
    <row r="605">
      <c r="A605" s="8" t="n"/>
      <c r="B605" s="7" t="n"/>
      <c r="C605" s="8" t="n"/>
      <c r="D605" s="21" t="n"/>
      <c r="E605" s="22" t="n"/>
      <c r="F605" s="22">
        <f>IFERROR(+VLOOKUP(D605,Master!B:C,2,0),"")</f>
        <v/>
      </c>
      <c r="G605" s="23" t="n"/>
      <c r="H605" s="23">
        <f>+E605*G605</f>
        <v/>
      </c>
    </row>
    <row r="606">
      <c r="A606" s="8" t="n"/>
      <c r="B606" s="7" t="n"/>
      <c r="C606" s="8" t="n"/>
      <c r="D606" s="21" t="n"/>
      <c r="E606" s="22" t="n"/>
      <c r="F606" s="22">
        <f>IFERROR(+VLOOKUP(D606,Master!B:C,2,0),"")</f>
        <v/>
      </c>
      <c r="G606" s="23" t="n"/>
      <c r="H606" s="23">
        <f>+E606*G606</f>
        <v/>
      </c>
    </row>
    <row r="607">
      <c r="A607" s="8" t="n"/>
      <c r="B607" s="7" t="n"/>
      <c r="C607" s="8" t="n"/>
      <c r="D607" s="21" t="n"/>
      <c r="E607" s="22" t="n"/>
      <c r="F607" s="22">
        <f>IFERROR(+VLOOKUP(D607,Master!B:C,2,0),"")</f>
        <v/>
      </c>
      <c r="G607" s="23" t="n"/>
      <c r="H607" s="23">
        <f>+E607*G607</f>
        <v/>
      </c>
    </row>
    <row r="608">
      <c r="A608" s="8" t="n"/>
      <c r="B608" s="7" t="n"/>
      <c r="C608" s="8" t="n"/>
      <c r="D608" s="21" t="n"/>
      <c r="E608" s="22" t="n"/>
      <c r="F608" s="22">
        <f>IFERROR(+VLOOKUP(D608,Master!B:C,2,0),"")</f>
        <v/>
      </c>
      <c r="G608" s="23" t="n"/>
      <c r="H608" s="23">
        <f>+E608*G608</f>
        <v/>
      </c>
    </row>
    <row r="609">
      <c r="A609" s="8" t="n"/>
      <c r="B609" s="7" t="n"/>
      <c r="C609" s="8" t="n"/>
      <c r="D609" s="21" t="n"/>
      <c r="E609" s="22" t="n"/>
      <c r="F609" s="22">
        <f>IFERROR(+VLOOKUP(D609,Master!B:C,2,0),"")</f>
        <v/>
      </c>
      <c r="G609" s="23" t="n"/>
      <c r="H609" s="23">
        <f>+E609*G609</f>
        <v/>
      </c>
    </row>
    <row r="610">
      <c r="A610" s="8" t="n"/>
      <c r="B610" s="7" t="n"/>
      <c r="C610" s="8" t="n"/>
      <c r="D610" s="21" t="n"/>
      <c r="E610" s="22" t="n"/>
      <c r="F610" s="22">
        <f>IFERROR(+VLOOKUP(D610,Master!B:C,2,0),"")</f>
        <v/>
      </c>
      <c r="G610" s="23" t="n"/>
      <c r="H610" s="23">
        <f>+E610*G610</f>
        <v/>
      </c>
    </row>
    <row r="611">
      <c r="A611" s="8" t="n"/>
      <c r="B611" s="7" t="n"/>
      <c r="C611" s="8" t="n"/>
      <c r="D611" s="21" t="n"/>
      <c r="E611" s="22" t="n"/>
      <c r="F611" s="22">
        <f>IFERROR(+VLOOKUP(D611,Master!B:C,2,0),"")</f>
        <v/>
      </c>
      <c r="G611" s="23" t="n"/>
      <c r="H611" s="23">
        <f>+E611*G611</f>
        <v/>
      </c>
    </row>
    <row r="612">
      <c r="A612" s="8" t="n"/>
      <c r="B612" s="7" t="n"/>
      <c r="C612" s="8" t="n"/>
      <c r="D612" s="21" t="n"/>
      <c r="E612" s="22" t="n"/>
      <c r="F612" s="22">
        <f>IFERROR(+VLOOKUP(D612,Master!B:C,2,0),"")</f>
        <v/>
      </c>
      <c r="G612" s="23" t="n"/>
      <c r="H612" s="23">
        <f>+E612*G612</f>
        <v/>
      </c>
    </row>
    <row r="613">
      <c r="A613" s="8" t="n"/>
      <c r="B613" s="7" t="n"/>
      <c r="C613" s="8" t="n"/>
      <c r="D613" s="21" t="n"/>
      <c r="E613" s="22" t="n"/>
      <c r="F613" s="22">
        <f>IFERROR(+VLOOKUP(D613,Master!B:C,2,0),"")</f>
        <v/>
      </c>
      <c r="G613" s="23" t="n"/>
      <c r="H613" s="23">
        <f>+E613*G613</f>
        <v/>
      </c>
    </row>
    <row r="614">
      <c r="A614" s="8" t="n"/>
      <c r="B614" s="7" t="n"/>
      <c r="C614" s="8" t="n"/>
      <c r="D614" s="21" t="n"/>
      <c r="E614" s="22" t="n"/>
      <c r="F614" s="22">
        <f>IFERROR(+VLOOKUP(D614,Master!B:C,2,0),"")</f>
        <v/>
      </c>
      <c r="G614" s="23" t="n"/>
      <c r="H614" s="23">
        <f>+E614*G614</f>
        <v/>
      </c>
    </row>
    <row r="615">
      <c r="A615" s="8" t="n"/>
      <c r="B615" s="7" t="n"/>
      <c r="C615" s="8" t="n"/>
      <c r="D615" s="21" t="n"/>
      <c r="E615" s="22" t="n"/>
      <c r="F615" s="22">
        <f>IFERROR(+VLOOKUP(D615,Master!B:C,2,0),"")</f>
        <v/>
      </c>
      <c r="G615" s="23" t="n"/>
      <c r="H615" s="23">
        <f>+E615*G615</f>
        <v/>
      </c>
    </row>
    <row r="616">
      <c r="A616" s="8" t="n"/>
      <c r="B616" s="7" t="n"/>
      <c r="C616" s="8" t="n"/>
      <c r="D616" s="21" t="n"/>
      <c r="E616" s="22" t="n"/>
      <c r="F616" s="22">
        <f>IFERROR(+VLOOKUP(D616,Master!B:C,2,0),"")</f>
        <v/>
      </c>
      <c r="G616" s="23" t="n"/>
      <c r="H616" s="23">
        <f>+E616*G616</f>
        <v/>
      </c>
    </row>
    <row r="617">
      <c r="A617" s="8" t="n"/>
      <c r="B617" s="7" t="n"/>
      <c r="C617" s="8" t="n"/>
      <c r="D617" s="21" t="n"/>
      <c r="E617" s="22" t="n"/>
      <c r="F617" s="22">
        <f>IFERROR(+VLOOKUP(D617,Master!B:C,2,0),"")</f>
        <v/>
      </c>
      <c r="G617" s="23" t="n"/>
      <c r="H617" s="23">
        <f>+E617*G617</f>
        <v/>
      </c>
    </row>
    <row r="618">
      <c r="A618" s="8" t="n"/>
      <c r="B618" s="7" t="n"/>
      <c r="C618" s="8" t="n"/>
      <c r="D618" s="21" t="n"/>
      <c r="E618" s="22" t="n"/>
      <c r="F618" s="22">
        <f>IFERROR(+VLOOKUP(D618,Master!B:C,2,0),"")</f>
        <v/>
      </c>
      <c r="G618" s="23" t="n"/>
      <c r="H618" s="23">
        <f>+E618*G618</f>
        <v/>
      </c>
    </row>
    <row r="619">
      <c r="A619" s="8" t="n"/>
      <c r="B619" s="7" t="n"/>
      <c r="C619" s="8" t="n"/>
      <c r="D619" s="21" t="n"/>
      <c r="E619" s="22" t="n"/>
      <c r="F619" s="22">
        <f>IFERROR(+VLOOKUP(D619,Master!B:C,2,0),"")</f>
        <v/>
      </c>
      <c r="G619" s="23" t="n"/>
      <c r="H619" s="23">
        <f>+E619*G619</f>
        <v/>
      </c>
    </row>
    <row r="620">
      <c r="A620" s="8" t="n"/>
      <c r="B620" s="7" t="n"/>
      <c r="C620" s="8" t="n"/>
      <c r="D620" s="21" t="n"/>
      <c r="E620" s="22" t="n"/>
      <c r="F620" s="22">
        <f>IFERROR(+VLOOKUP(D620,Master!B:C,2,0),"")</f>
        <v/>
      </c>
      <c r="G620" s="23" t="n"/>
      <c r="H620" s="23">
        <f>+E620*G620</f>
        <v/>
      </c>
    </row>
    <row r="621">
      <c r="A621" s="8" t="n"/>
      <c r="B621" s="7" t="n"/>
      <c r="C621" s="8" t="n"/>
      <c r="D621" s="21" t="n"/>
      <c r="E621" s="22" t="n"/>
      <c r="F621" s="22">
        <f>IFERROR(+VLOOKUP(D621,Master!B:C,2,0),"")</f>
        <v/>
      </c>
      <c r="G621" s="23" t="n"/>
      <c r="H621" s="23">
        <f>+E621*G621</f>
        <v/>
      </c>
    </row>
    <row r="622">
      <c r="A622" s="8" t="n"/>
      <c r="B622" s="7" t="n"/>
      <c r="C622" s="8" t="n"/>
      <c r="D622" s="21" t="n"/>
      <c r="E622" s="22" t="n"/>
      <c r="F622" s="22">
        <f>IFERROR(+VLOOKUP(D622,Master!B:C,2,0),"")</f>
        <v/>
      </c>
      <c r="G622" s="23" t="n"/>
      <c r="H622" s="23">
        <f>+E622*G622</f>
        <v/>
      </c>
    </row>
    <row r="623">
      <c r="A623" s="8" t="n"/>
      <c r="B623" s="7" t="n"/>
      <c r="C623" s="8" t="n"/>
      <c r="D623" s="21" t="n"/>
      <c r="E623" s="22" t="n"/>
      <c r="F623" s="22">
        <f>IFERROR(+VLOOKUP(D623,Master!B:C,2,0),"")</f>
        <v/>
      </c>
      <c r="G623" s="23" t="n"/>
      <c r="H623" s="23">
        <f>+E623*G623</f>
        <v/>
      </c>
    </row>
    <row r="624">
      <c r="A624" s="8" t="n"/>
      <c r="B624" s="7" t="n"/>
      <c r="C624" s="8" t="n"/>
      <c r="D624" s="21" t="n"/>
      <c r="E624" s="22" t="n"/>
      <c r="F624" s="22">
        <f>IFERROR(+VLOOKUP(D624,Master!B:C,2,0),"")</f>
        <v/>
      </c>
      <c r="G624" s="23" t="n"/>
      <c r="H624" s="23">
        <f>+E624*G624</f>
        <v/>
      </c>
    </row>
    <row r="625">
      <c r="A625" s="8" t="n"/>
      <c r="B625" s="7" t="n"/>
      <c r="C625" s="8" t="n"/>
      <c r="D625" s="21" t="n"/>
      <c r="E625" s="22" t="n"/>
      <c r="F625" s="22">
        <f>IFERROR(+VLOOKUP(D625,Master!B:C,2,0),"")</f>
        <v/>
      </c>
      <c r="G625" s="23" t="n"/>
      <c r="H625" s="23">
        <f>+E625*G625</f>
        <v/>
      </c>
    </row>
    <row r="626">
      <c r="A626" s="8" t="n"/>
      <c r="B626" s="7" t="n"/>
      <c r="C626" s="8" t="n"/>
      <c r="D626" s="21" t="n"/>
      <c r="E626" s="22" t="n"/>
      <c r="F626" s="22">
        <f>IFERROR(+VLOOKUP(D626,Master!B:C,2,0),"")</f>
        <v/>
      </c>
      <c r="G626" s="23" t="n"/>
      <c r="H626" s="23">
        <f>+E626*G626</f>
        <v/>
      </c>
    </row>
    <row r="627">
      <c r="A627" s="8" t="n"/>
      <c r="B627" s="7" t="n"/>
      <c r="C627" s="8" t="n"/>
      <c r="D627" s="21" t="n"/>
      <c r="E627" s="22" t="n"/>
      <c r="F627" s="22">
        <f>IFERROR(+VLOOKUP(D627,Master!B:C,2,0),"")</f>
        <v/>
      </c>
      <c r="G627" s="23" t="n"/>
      <c r="H627" s="23">
        <f>+E627*G627</f>
        <v/>
      </c>
    </row>
    <row r="628">
      <c r="A628" s="8" t="n"/>
      <c r="B628" s="7" t="n"/>
      <c r="C628" s="8" t="n"/>
      <c r="D628" s="21" t="n"/>
      <c r="E628" s="22" t="n"/>
      <c r="F628" s="22">
        <f>IFERROR(+VLOOKUP(D628,Master!B:C,2,0),"")</f>
        <v/>
      </c>
      <c r="G628" s="23" t="n"/>
      <c r="H628" s="23">
        <f>+E628*G628</f>
        <v/>
      </c>
    </row>
    <row r="629">
      <c r="A629" s="8" t="n"/>
      <c r="B629" s="7" t="n"/>
      <c r="C629" s="8" t="n"/>
      <c r="D629" s="21" t="n"/>
      <c r="E629" s="22" t="n"/>
      <c r="F629" s="22">
        <f>IFERROR(+VLOOKUP(D629,Master!B:C,2,0),"")</f>
        <v/>
      </c>
      <c r="G629" s="23" t="n"/>
      <c r="H629" s="23">
        <f>+E629*G629</f>
        <v/>
      </c>
    </row>
    <row r="630">
      <c r="A630" s="8" t="n"/>
      <c r="B630" s="7" t="n"/>
      <c r="C630" s="8" t="n"/>
      <c r="D630" s="21" t="n"/>
      <c r="E630" s="22" t="n"/>
      <c r="F630" s="22">
        <f>IFERROR(+VLOOKUP(D630,Master!B:C,2,0),"")</f>
        <v/>
      </c>
      <c r="G630" s="23" t="n"/>
      <c r="H630" s="23">
        <f>+E630*G630</f>
        <v/>
      </c>
    </row>
    <row r="631">
      <c r="A631" s="8" t="n"/>
      <c r="B631" s="7" t="n"/>
      <c r="C631" s="8" t="n"/>
      <c r="D631" s="21" t="n"/>
      <c r="E631" s="22" t="n"/>
      <c r="F631" s="22">
        <f>IFERROR(+VLOOKUP(D631,Master!B:C,2,0),"")</f>
        <v/>
      </c>
      <c r="G631" s="23" t="n"/>
      <c r="H631" s="23">
        <f>+E631*G631</f>
        <v/>
      </c>
    </row>
    <row r="632">
      <c r="A632" s="8" t="n"/>
      <c r="B632" s="7" t="n"/>
      <c r="C632" s="8" t="n"/>
      <c r="D632" s="21" t="n"/>
      <c r="E632" s="22" t="n"/>
      <c r="F632" s="22">
        <f>IFERROR(+VLOOKUP(D632,Master!B:C,2,0),"")</f>
        <v/>
      </c>
      <c r="G632" s="23" t="n"/>
      <c r="H632" s="23">
        <f>+E632*G632</f>
        <v/>
      </c>
    </row>
    <row r="633">
      <c r="A633" s="8" t="n"/>
      <c r="B633" s="7" t="n"/>
      <c r="C633" s="8" t="n"/>
      <c r="D633" s="21" t="n"/>
      <c r="E633" s="22" t="n"/>
      <c r="F633" s="22">
        <f>IFERROR(+VLOOKUP(D633,Master!B:C,2,0),"")</f>
        <v/>
      </c>
      <c r="G633" s="23" t="n"/>
      <c r="H633" s="23">
        <f>+E633*G633</f>
        <v/>
      </c>
    </row>
    <row r="634">
      <c r="A634" s="8" t="n"/>
      <c r="B634" s="7" t="n"/>
      <c r="C634" s="8" t="n"/>
      <c r="D634" s="21" t="n"/>
      <c r="E634" s="22" t="n"/>
      <c r="F634" s="22">
        <f>IFERROR(+VLOOKUP(D634,Master!B:C,2,0),"")</f>
        <v/>
      </c>
      <c r="G634" s="23" t="n"/>
      <c r="H634" s="23">
        <f>+E634*G634</f>
        <v/>
      </c>
    </row>
    <row r="635">
      <c r="A635" s="8" t="n"/>
      <c r="B635" s="7" t="n"/>
      <c r="C635" s="8" t="n"/>
      <c r="D635" s="21" t="n"/>
      <c r="E635" s="22" t="n"/>
      <c r="F635" s="22">
        <f>IFERROR(+VLOOKUP(D635,Master!B:C,2,0),"")</f>
        <v/>
      </c>
      <c r="G635" s="23" t="n"/>
      <c r="H635" s="23">
        <f>+E635*G635</f>
        <v/>
      </c>
    </row>
    <row r="636">
      <c r="A636" s="8" t="n"/>
      <c r="B636" s="7" t="n"/>
      <c r="C636" s="8" t="n"/>
      <c r="D636" s="21" t="n"/>
      <c r="E636" s="22" t="n"/>
      <c r="F636" s="22">
        <f>IFERROR(+VLOOKUP(D636,Master!B:C,2,0),"")</f>
        <v/>
      </c>
      <c r="G636" s="23" t="n"/>
      <c r="H636" s="23">
        <f>+E636*G636</f>
        <v/>
      </c>
    </row>
    <row r="637">
      <c r="A637" s="8" t="n"/>
      <c r="B637" s="7" t="n"/>
      <c r="C637" s="8" t="n"/>
      <c r="D637" s="21" t="n"/>
      <c r="E637" s="22" t="n"/>
      <c r="F637" s="22">
        <f>IFERROR(+VLOOKUP(D637,Master!B:C,2,0),"")</f>
        <v/>
      </c>
      <c r="G637" s="23" t="n"/>
      <c r="H637" s="23">
        <f>+E637*G637</f>
        <v/>
      </c>
    </row>
    <row r="638">
      <c r="A638" s="8" t="n"/>
      <c r="B638" s="7" t="n"/>
      <c r="C638" s="8" t="n"/>
      <c r="D638" s="21" t="n"/>
      <c r="E638" s="22" t="n"/>
      <c r="F638" s="22">
        <f>IFERROR(+VLOOKUP(D638,Master!B:C,2,0),"")</f>
        <v/>
      </c>
      <c r="G638" s="23" t="n"/>
      <c r="H638" s="23">
        <f>+E638*G638</f>
        <v/>
      </c>
    </row>
    <row r="639">
      <c r="A639" s="8" t="n"/>
      <c r="B639" s="7" t="n"/>
      <c r="C639" s="8" t="n"/>
      <c r="D639" s="21" t="n"/>
      <c r="E639" s="22" t="n"/>
      <c r="F639" s="22">
        <f>IFERROR(+VLOOKUP(D639,Master!B:C,2,0),"")</f>
        <v/>
      </c>
      <c r="G639" s="23" t="n"/>
      <c r="H639" s="23">
        <f>+E639*G639</f>
        <v/>
      </c>
    </row>
    <row r="640">
      <c r="A640" s="8" t="n"/>
      <c r="B640" s="7" t="n"/>
      <c r="C640" s="8" t="n"/>
      <c r="D640" s="21" t="n"/>
      <c r="E640" s="22" t="n"/>
      <c r="F640" s="22">
        <f>IFERROR(+VLOOKUP(D640,Master!B:C,2,0),"")</f>
        <v/>
      </c>
      <c r="G640" s="23" t="n"/>
      <c r="H640" s="23">
        <f>+E640*G640</f>
        <v/>
      </c>
    </row>
    <row r="641">
      <c r="A641" s="8" t="n"/>
      <c r="B641" s="7" t="n"/>
      <c r="C641" s="8" t="n"/>
      <c r="D641" s="21" t="n"/>
      <c r="E641" s="22" t="n"/>
      <c r="F641" s="22">
        <f>IFERROR(+VLOOKUP(D641,Master!B:C,2,0),"")</f>
        <v/>
      </c>
      <c r="G641" s="23" t="n"/>
      <c r="H641" s="23">
        <f>+E641*G641</f>
        <v/>
      </c>
    </row>
    <row r="642">
      <c r="A642" s="8" t="n"/>
      <c r="B642" s="7" t="n"/>
      <c r="C642" s="8" t="n"/>
      <c r="D642" s="21" t="n"/>
      <c r="E642" s="22" t="n"/>
      <c r="F642" s="22">
        <f>IFERROR(+VLOOKUP(D642,Master!B:C,2,0),"")</f>
        <v/>
      </c>
      <c r="G642" s="23" t="n"/>
      <c r="H642" s="23">
        <f>+E642*G642</f>
        <v/>
      </c>
    </row>
    <row r="643">
      <c r="A643" s="8" t="n"/>
      <c r="B643" s="7" t="n"/>
      <c r="C643" s="8" t="n"/>
      <c r="D643" s="21" t="n"/>
      <c r="E643" s="22" t="n"/>
      <c r="F643" s="22">
        <f>IFERROR(+VLOOKUP(D643,Master!B:C,2,0),"")</f>
        <v/>
      </c>
      <c r="G643" s="23" t="n"/>
      <c r="H643" s="23">
        <f>+E643*G643</f>
        <v/>
      </c>
    </row>
    <row r="644">
      <c r="A644" s="8" t="n"/>
      <c r="B644" s="7" t="n"/>
      <c r="C644" s="8" t="n"/>
      <c r="D644" s="21" t="n"/>
      <c r="E644" s="22" t="n"/>
      <c r="F644" s="22">
        <f>IFERROR(+VLOOKUP(D644,Master!B:C,2,0),"")</f>
        <v/>
      </c>
      <c r="G644" s="23" t="n"/>
      <c r="H644" s="23">
        <f>+E644*G644</f>
        <v/>
      </c>
    </row>
    <row r="645">
      <c r="A645" s="8" t="n"/>
      <c r="B645" s="7" t="n"/>
      <c r="C645" s="8" t="n"/>
      <c r="D645" s="21" t="n"/>
      <c r="E645" s="22" t="n"/>
      <c r="F645" s="22">
        <f>IFERROR(+VLOOKUP(D645,Master!B:C,2,0),"")</f>
        <v/>
      </c>
      <c r="G645" s="23" t="n"/>
      <c r="H645" s="23">
        <f>+E645*G645</f>
        <v/>
      </c>
    </row>
    <row r="646">
      <c r="A646" s="8" t="n"/>
      <c r="B646" s="7" t="n"/>
      <c r="C646" s="8" t="n"/>
      <c r="D646" s="21" t="n"/>
      <c r="E646" s="22" t="n"/>
      <c r="F646" s="22">
        <f>IFERROR(+VLOOKUP(D646,Master!B:C,2,0),"")</f>
        <v/>
      </c>
      <c r="G646" s="23" t="n"/>
      <c r="H646" s="23">
        <f>+E646*G646</f>
        <v/>
      </c>
    </row>
    <row r="647">
      <c r="A647" s="8" t="n"/>
      <c r="B647" s="7" t="n"/>
      <c r="C647" s="8" t="n"/>
      <c r="D647" s="21" t="n"/>
      <c r="E647" s="22" t="n"/>
      <c r="F647" s="22">
        <f>IFERROR(+VLOOKUP(D647,Master!B:C,2,0),"")</f>
        <v/>
      </c>
      <c r="G647" s="23" t="n"/>
      <c r="H647" s="23">
        <f>+E647*G647</f>
        <v/>
      </c>
    </row>
    <row r="648">
      <c r="A648" s="8" t="n"/>
      <c r="B648" s="7" t="n"/>
      <c r="C648" s="8" t="n"/>
      <c r="D648" s="21" t="n"/>
      <c r="E648" s="22" t="n"/>
      <c r="F648" s="22">
        <f>IFERROR(+VLOOKUP(D648,Master!B:C,2,0),"")</f>
        <v/>
      </c>
      <c r="G648" s="23" t="n"/>
      <c r="H648" s="23">
        <f>+E648*G648</f>
        <v/>
      </c>
    </row>
    <row r="649">
      <c r="A649" s="8" t="n"/>
      <c r="B649" s="7" t="n"/>
      <c r="C649" s="8" t="n"/>
      <c r="D649" s="21" t="n"/>
      <c r="E649" s="22" t="n"/>
      <c r="F649" s="22">
        <f>IFERROR(+VLOOKUP(D649,Master!B:C,2,0),"")</f>
        <v/>
      </c>
      <c r="G649" s="23" t="n"/>
      <c r="H649" s="23">
        <f>+E649*G649</f>
        <v/>
      </c>
    </row>
    <row r="650">
      <c r="A650" s="8" t="n"/>
      <c r="B650" s="7" t="n"/>
      <c r="C650" s="8" t="n"/>
      <c r="D650" s="21" t="n"/>
      <c r="E650" s="22" t="n"/>
      <c r="F650" s="22">
        <f>IFERROR(+VLOOKUP(D650,Master!B:C,2,0),"")</f>
        <v/>
      </c>
      <c r="G650" s="23" t="n"/>
      <c r="H650" s="23">
        <f>+E650*G650</f>
        <v/>
      </c>
    </row>
    <row r="651">
      <c r="A651" s="8" t="n"/>
      <c r="B651" s="7" t="n"/>
      <c r="C651" s="8" t="n"/>
      <c r="D651" s="21" t="n"/>
      <c r="E651" s="22" t="n"/>
      <c r="F651" s="22">
        <f>IFERROR(+VLOOKUP(D651,Master!B:C,2,0),"")</f>
        <v/>
      </c>
      <c r="G651" s="23" t="n"/>
      <c r="H651" s="23">
        <f>+E651*G651</f>
        <v/>
      </c>
    </row>
    <row r="652">
      <c r="A652" s="8" t="n"/>
      <c r="B652" s="7" t="n"/>
      <c r="C652" s="8" t="n"/>
      <c r="D652" s="21" t="n"/>
      <c r="E652" s="22" t="n"/>
      <c r="F652" s="22">
        <f>IFERROR(+VLOOKUP(D652,Master!B:C,2,0),"")</f>
        <v/>
      </c>
      <c r="G652" s="23" t="n"/>
      <c r="H652" s="23">
        <f>+E652*G652</f>
        <v/>
      </c>
    </row>
    <row r="653">
      <c r="A653" s="8" t="n"/>
      <c r="B653" s="7" t="n"/>
      <c r="C653" s="8" t="n"/>
      <c r="D653" s="21" t="n"/>
      <c r="E653" s="22" t="n"/>
      <c r="F653" s="22">
        <f>IFERROR(+VLOOKUP(D653,Master!B:C,2,0),"")</f>
        <v/>
      </c>
      <c r="G653" s="23" t="n"/>
      <c r="H653" s="23">
        <f>+E653*G653</f>
        <v/>
      </c>
    </row>
    <row r="654">
      <c r="A654" s="8" t="n"/>
      <c r="B654" s="7" t="n"/>
      <c r="C654" s="8" t="n"/>
      <c r="D654" s="21" t="n"/>
      <c r="E654" s="22" t="n"/>
      <c r="F654" s="22">
        <f>IFERROR(+VLOOKUP(D654,Master!B:C,2,0),"")</f>
        <v/>
      </c>
      <c r="G654" s="23" t="n"/>
      <c r="H654" s="23">
        <f>+E654*G654</f>
        <v/>
      </c>
    </row>
    <row r="655">
      <c r="A655" s="8" t="n"/>
      <c r="B655" s="7" t="n"/>
      <c r="C655" s="8" t="n"/>
      <c r="D655" s="21" t="n"/>
      <c r="E655" s="22" t="n"/>
      <c r="F655" s="22">
        <f>IFERROR(+VLOOKUP(D655,Master!B:C,2,0),"")</f>
        <v/>
      </c>
      <c r="G655" s="23" t="n"/>
      <c r="H655" s="23">
        <f>+E655*G655</f>
        <v/>
      </c>
    </row>
    <row r="656">
      <c r="A656" s="8" t="n"/>
      <c r="B656" s="7" t="n"/>
      <c r="C656" s="8" t="n"/>
      <c r="D656" s="21" t="n"/>
      <c r="E656" s="22" t="n"/>
      <c r="F656" s="22">
        <f>IFERROR(+VLOOKUP(D656,Master!B:C,2,0),"")</f>
        <v/>
      </c>
      <c r="G656" s="23" t="n"/>
      <c r="H656" s="23">
        <f>+E656*G656</f>
        <v/>
      </c>
    </row>
    <row r="657">
      <c r="A657" s="8" t="n"/>
      <c r="B657" s="7" t="n"/>
      <c r="C657" s="8" t="n"/>
      <c r="D657" s="21" t="n"/>
      <c r="E657" s="22" t="n"/>
      <c r="F657" s="22">
        <f>IFERROR(+VLOOKUP(D657,Master!B:C,2,0),"")</f>
        <v/>
      </c>
      <c r="G657" s="23" t="n"/>
      <c r="H657" s="23">
        <f>+E657*G657</f>
        <v/>
      </c>
    </row>
    <row r="658">
      <c r="A658" s="8" t="n"/>
      <c r="B658" s="7" t="n"/>
      <c r="C658" s="8" t="n"/>
      <c r="D658" s="21" t="n"/>
      <c r="E658" s="22" t="n"/>
      <c r="F658" s="22">
        <f>IFERROR(+VLOOKUP(D658,Master!B:C,2,0),"")</f>
        <v/>
      </c>
      <c r="G658" s="23" t="n"/>
      <c r="H658" s="23">
        <f>+E658*G658</f>
        <v/>
      </c>
    </row>
    <row r="659">
      <c r="A659" s="8" t="n"/>
      <c r="B659" s="7" t="n"/>
      <c r="C659" s="8" t="n"/>
      <c r="D659" s="21" t="n"/>
      <c r="E659" s="22" t="n"/>
      <c r="F659" s="22">
        <f>IFERROR(+VLOOKUP(D659,Master!B:C,2,0),"")</f>
        <v/>
      </c>
      <c r="G659" s="23" t="n"/>
      <c r="H659" s="23">
        <f>+E659*G659</f>
        <v/>
      </c>
    </row>
    <row r="660">
      <c r="A660" s="8" t="n"/>
      <c r="B660" s="7" t="n"/>
      <c r="C660" s="8" t="n"/>
      <c r="D660" s="21" t="n"/>
      <c r="E660" s="22" t="n"/>
      <c r="F660" s="22">
        <f>IFERROR(+VLOOKUP(D660,Master!B:C,2,0),"")</f>
        <v/>
      </c>
      <c r="G660" s="23" t="n"/>
      <c r="H660" s="23">
        <f>+E660*G660</f>
        <v/>
      </c>
    </row>
    <row r="661">
      <c r="A661" s="8" t="n"/>
      <c r="B661" s="7" t="n"/>
      <c r="C661" s="8" t="n"/>
      <c r="D661" s="21" t="n"/>
      <c r="E661" s="22" t="n"/>
      <c r="F661" s="22">
        <f>IFERROR(+VLOOKUP(D661,Master!B:C,2,0),"")</f>
        <v/>
      </c>
      <c r="G661" s="23" t="n"/>
      <c r="H661" s="23">
        <f>+E661*G661</f>
        <v/>
      </c>
    </row>
    <row r="662">
      <c r="A662" s="8" t="n"/>
      <c r="B662" s="7" t="n"/>
      <c r="C662" s="8" t="n"/>
      <c r="D662" s="21" t="n"/>
      <c r="E662" s="22" t="n"/>
      <c r="F662" s="22">
        <f>IFERROR(+VLOOKUP(D662,Master!B:C,2,0),"")</f>
        <v/>
      </c>
      <c r="G662" s="23" t="n"/>
      <c r="H662" s="23">
        <f>+E662*G662</f>
        <v/>
      </c>
    </row>
    <row r="663">
      <c r="A663" s="8" t="n"/>
      <c r="B663" s="7" t="n"/>
      <c r="C663" s="8" t="n"/>
      <c r="D663" s="21" t="n"/>
      <c r="E663" s="22" t="n"/>
      <c r="F663" s="22">
        <f>IFERROR(+VLOOKUP(D663,Master!B:C,2,0),"")</f>
        <v/>
      </c>
      <c r="G663" s="23" t="n"/>
      <c r="H663" s="23">
        <f>+E663*G663</f>
        <v/>
      </c>
    </row>
    <row r="664">
      <c r="A664" s="8" t="n"/>
      <c r="B664" s="7" t="n"/>
      <c r="C664" s="8" t="n"/>
      <c r="D664" s="21" t="n"/>
      <c r="E664" s="22" t="n"/>
      <c r="F664" s="22">
        <f>IFERROR(+VLOOKUP(D664,Master!B:C,2,0),"")</f>
        <v/>
      </c>
      <c r="G664" s="23" t="n"/>
      <c r="H664" s="23">
        <f>+E664*G664</f>
        <v/>
      </c>
    </row>
    <row r="665">
      <c r="A665" s="8" t="n"/>
      <c r="B665" s="7" t="n"/>
      <c r="C665" s="8" t="n"/>
      <c r="D665" s="21" t="n"/>
      <c r="E665" s="22" t="n"/>
      <c r="F665" s="22">
        <f>IFERROR(+VLOOKUP(D665,Master!B:C,2,0),"")</f>
        <v/>
      </c>
      <c r="G665" s="23" t="n"/>
      <c r="H665" s="23">
        <f>+E665*G665</f>
        <v/>
      </c>
    </row>
    <row r="666">
      <c r="A666" s="8" t="n"/>
      <c r="B666" s="7" t="n"/>
      <c r="C666" s="8" t="n"/>
      <c r="D666" s="21" t="n"/>
      <c r="E666" s="22" t="n"/>
      <c r="F666" s="22">
        <f>IFERROR(+VLOOKUP(D666,Master!B:C,2,0),"")</f>
        <v/>
      </c>
      <c r="G666" s="23" t="n"/>
      <c r="H666" s="23">
        <f>+E666*G666</f>
        <v/>
      </c>
    </row>
    <row r="667">
      <c r="A667" s="8" t="n"/>
      <c r="B667" s="7" t="n"/>
      <c r="C667" s="8" t="n"/>
      <c r="D667" s="21" t="n"/>
      <c r="E667" s="22" t="n"/>
      <c r="F667" s="22">
        <f>IFERROR(+VLOOKUP(D667,Master!B:C,2,0),"")</f>
        <v/>
      </c>
      <c r="G667" s="23" t="n"/>
      <c r="H667" s="23">
        <f>+E667*G667</f>
        <v/>
      </c>
    </row>
    <row r="668">
      <c r="A668" s="8" t="n"/>
      <c r="B668" s="7" t="n"/>
      <c r="C668" s="8" t="n"/>
      <c r="D668" s="21" t="n"/>
      <c r="E668" s="22" t="n"/>
      <c r="F668" s="22">
        <f>IFERROR(+VLOOKUP(D668,Master!B:C,2,0),"")</f>
        <v/>
      </c>
      <c r="G668" s="23" t="n"/>
      <c r="H668" s="23">
        <f>+E668*G668</f>
        <v/>
      </c>
    </row>
    <row r="669">
      <c r="A669" s="8" t="n"/>
      <c r="B669" s="7" t="n"/>
      <c r="C669" s="8" t="n"/>
      <c r="D669" s="21" t="n"/>
      <c r="E669" s="22" t="n"/>
      <c r="F669" s="22">
        <f>IFERROR(+VLOOKUP(D669,Master!B:C,2,0),"")</f>
        <v/>
      </c>
      <c r="G669" s="23" t="n"/>
      <c r="H669" s="23">
        <f>+E669*G669</f>
        <v/>
      </c>
    </row>
    <row r="670">
      <c r="A670" s="8" t="n"/>
      <c r="B670" s="7" t="n"/>
      <c r="C670" s="8" t="n"/>
      <c r="D670" s="21" t="n"/>
      <c r="E670" s="22" t="n"/>
      <c r="F670" s="22">
        <f>IFERROR(+VLOOKUP(D670,Master!B:C,2,0),"")</f>
        <v/>
      </c>
      <c r="G670" s="23" t="n"/>
      <c r="H670" s="23">
        <f>+E670*G670</f>
        <v/>
      </c>
    </row>
    <row r="671">
      <c r="A671" s="8" t="n"/>
      <c r="B671" s="7" t="n"/>
      <c r="C671" s="8" t="n"/>
      <c r="D671" s="21" t="n"/>
      <c r="E671" s="22" t="n"/>
      <c r="F671" s="22">
        <f>IFERROR(+VLOOKUP(D671,Master!B:C,2,0),"")</f>
        <v/>
      </c>
      <c r="G671" s="23" t="n"/>
      <c r="H671" s="23">
        <f>+E671*G671</f>
        <v/>
      </c>
    </row>
    <row r="672">
      <c r="A672" s="8" t="n"/>
      <c r="B672" s="7" t="n"/>
      <c r="C672" s="8" t="n"/>
      <c r="D672" s="21" t="n"/>
      <c r="E672" s="22" t="n"/>
      <c r="F672" s="22">
        <f>IFERROR(+VLOOKUP(D672,Master!B:C,2,0),"")</f>
        <v/>
      </c>
      <c r="G672" s="23" t="n"/>
      <c r="H672" s="23">
        <f>+E672*G672</f>
        <v/>
      </c>
    </row>
    <row r="673">
      <c r="A673" s="8" t="n"/>
      <c r="B673" s="7" t="n"/>
      <c r="C673" s="8" t="n"/>
      <c r="D673" s="21" t="n"/>
      <c r="E673" s="22" t="n"/>
      <c r="F673" s="22">
        <f>IFERROR(+VLOOKUP(D673,Master!B:C,2,0),"")</f>
        <v/>
      </c>
      <c r="G673" s="23" t="n"/>
      <c r="H673" s="23">
        <f>+E673*G673</f>
        <v/>
      </c>
    </row>
    <row r="674">
      <c r="A674" s="8" t="n"/>
      <c r="B674" s="7" t="n"/>
      <c r="C674" s="8" t="n"/>
      <c r="D674" s="21" t="n"/>
      <c r="E674" s="22" t="n"/>
      <c r="F674" s="22">
        <f>IFERROR(+VLOOKUP(D674,Master!B:C,2,0),"")</f>
        <v/>
      </c>
      <c r="G674" s="23" t="n"/>
      <c r="H674" s="23">
        <f>+E674*G674</f>
        <v/>
      </c>
    </row>
    <row r="675">
      <c r="A675" s="8" t="n"/>
      <c r="B675" s="7" t="n"/>
      <c r="C675" s="8" t="n"/>
      <c r="D675" s="21" t="n"/>
      <c r="E675" s="22" t="n"/>
      <c r="F675" s="22">
        <f>IFERROR(+VLOOKUP(D675,Master!B:C,2,0),"")</f>
        <v/>
      </c>
      <c r="G675" s="23" t="n"/>
      <c r="H675" s="23">
        <f>+E675*G675</f>
        <v/>
      </c>
    </row>
    <row r="676">
      <c r="A676" s="8" t="n"/>
      <c r="B676" s="7" t="n"/>
      <c r="C676" s="8" t="n"/>
      <c r="D676" s="21" t="n"/>
      <c r="E676" s="22" t="n"/>
      <c r="F676" s="22">
        <f>IFERROR(+VLOOKUP(D676,Master!B:C,2,0),"")</f>
        <v/>
      </c>
      <c r="G676" s="23" t="n"/>
      <c r="H676" s="23">
        <f>+E676*G676</f>
        <v/>
      </c>
    </row>
    <row r="677">
      <c r="A677" s="8" t="n"/>
      <c r="B677" s="7" t="n"/>
      <c r="C677" s="8" t="n"/>
      <c r="D677" s="21" t="n"/>
      <c r="E677" s="22" t="n"/>
      <c r="F677" s="22">
        <f>IFERROR(+VLOOKUP(D677,Master!B:C,2,0),"")</f>
        <v/>
      </c>
      <c r="G677" s="23" t="n"/>
      <c r="H677" s="23">
        <f>+E677*G677</f>
        <v/>
      </c>
    </row>
    <row r="678">
      <c r="A678" s="8" t="n"/>
      <c r="B678" s="7" t="n"/>
      <c r="C678" s="8" t="n"/>
      <c r="D678" s="21" t="n"/>
      <c r="E678" s="22" t="n"/>
      <c r="F678" s="22">
        <f>IFERROR(+VLOOKUP(D678,Master!B:C,2,0),"")</f>
        <v/>
      </c>
      <c r="G678" s="23" t="n"/>
      <c r="H678" s="23">
        <f>+E678*G678</f>
        <v/>
      </c>
    </row>
    <row r="679">
      <c r="A679" s="8" t="n"/>
      <c r="B679" s="7" t="n"/>
      <c r="C679" s="8" t="n"/>
      <c r="D679" s="21" t="n"/>
      <c r="E679" s="22" t="n"/>
      <c r="F679" s="22">
        <f>IFERROR(+VLOOKUP(D679,Master!B:C,2,0),"")</f>
        <v/>
      </c>
      <c r="G679" s="23" t="n"/>
      <c r="H679" s="23">
        <f>+E679*G679</f>
        <v/>
      </c>
    </row>
    <row r="680">
      <c r="A680" s="8" t="n"/>
      <c r="B680" s="7" t="n"/>
      <c r="C680" s="8" t="n"/>
      <c r="D680" s="21" t="n"/>
      <c r="E680" s="22" t="n"/>
      <c r="F680" s="22">
        <f>IFERROR(+VLOOKUP(D680,Master!B:C,2,0),"")</f>
        <v/>
      </c>
      <c r="G680" s="23" t="n"/>
      <c r="H680" s="23">
        <f>+E680*G680</f>
        <v/>
      </c>
    </row>
    <row r="681">
      <c r="A681" s="8" t="n"/>
      <c r="B681" s="7" t="n"/>
      <c r="C681" s="8" t="n"/>
      <c r="D681" s="21" t="n"/>
      <c r="E681" s="22" t="n"/>
      <c r="F681" s="22">
        <f>IFERROR(+VLOOKUP(D681,Master!B:C,2,0),"")</f>
        <v/>
      </c>
      <c r="G681" s="23" t="n"/>
      <c r="H681" s="23">
        <f>+E681*G681</f>
        <v/>
      </c>
    </row>
    <row r="682">
      <c r="A682" s="8" t="n"/>
      <c r="B682" s="7" t="n"/>
      <c r="C682" s="8" t="n"/>
      <c r="D682" s="21" t="n"/>
      <c r="E682" s="22" t="n"/>
      <c r="F682" s="22">
        <f>IFERROR(+VLOOKUP(D682,Master!B:C,2,0),"")</f>
        <v/>
      </c>
      <c r="G682" s="23" t="n"/>
      <c r="H682" s="23">
        <f>+E682*G682</f>
        <v/>
      </c>
    </row>
    <row r="683">
      <c r="A683" s="8" t="n"/>
      <c r="B683" s="7" t="n"/>
      <c r="C683" s="8" t="n"/>
      <c r="D683" s="21" t="n"/>
      <c r="E683" s="22" t="n"/>
      <c r="F683" s="22">
        <f>IFERROR(+VLOOKUP(D683,Master!B:C,2,0),"")</f>
        <v/>
      </c>
      <c r="G683" s="23" t="n"/>
      <c r="H683" s="23">
        <f>+E683*G683</f>
        <v/>
      </c>
    </row>
    <row r="684">
      <c r="A684" s="8" t="n"/>
      <c r="B684" s="7" t="n"/>
      <c r="C684" s="8" t="n"/>
      <c r="D684" s="21" t="n"/>
      <c r="E684" s="22" t="n"/>
      <c r="F684" s="22">
        <f>IFERROR(+VLOOKUP(D684,Master!B:C,2,0),"")</f>
        <v/>
      </c>
      <c r="G684" s="23" t="n"/>
      <c r="H684" s="23">
        <f>+E684*G684</f>
        <v/>
      </c>
    </row>
    <row r="685">
      <c r="A685" s="8" t="n"/>
      <c r="B685" s="7" t="n"/>
      <c r="C685" s="8" t="n"/>
      <c r="D685" s="21" t="n"/>
      <c r="E685" s="22" t="n"/>
      <c r="F685" s="22">
        <f>IFERROR(+VLOOKUP(D685,Master!B:C,2,0),"")</f>
        <v/>
      </c>
      <c r="G685" s="23" t="n"/>
      <c r="H685" s="23">
        <f>+E685*G685</f>
        <v/>
      </c>
    </row>
    <row r="686">
      <c r="A686" s="8" t="n"/>
      <c r="B686" s="7" t="n"/>
      <c r="C686" s="8" t="n"/>
      <c r="D686" s="21" t="n"/>
      <c r="E686" s="22" t="n"/>
      <c r="F686" s="22">
        <f>IFERROR(+VLOOKUP(D686,Master!B:C,2,0),"")</f>
        <v/>
      </c>
      <c r="G686" s="23" t="n"/>
      <c r="H686" s="23">
        <f>+E686*G686</f>
        <v/>
      </c>
    </row>
    <row r="687">
      <c r="A687" s="8" t="n"/>
      <c r="B687" s="7" t="n"/>
      <c r="C687" s="8" t="n"/>
      <c r="D687" s="21" t="n"/>
      <c r="E687" s="22" t="n"/>
      <c r="F687" s="22">
        <f>IFERROR(+VLOOKUP(D687,Master!B:C,2,0),"")</f>
        <v/>
      </c>
      <c r="G687" s="23" t="n"/>
      <c r="H687" s="23">
        <f>+E687*G687</f>
        <v/>
      </c>
    </row>
    <row r="688">
      <c r="A688" s="8" t="n"/>
      <c r="B688" s="7" t="n"/>
      <c r="C688" s="8" t="n"/>
      <c r="D688" s="21" t="n"/>
      <c r="E688" s="22" t="n"/>
      <c r="F688" s="22">
        <f>IFERROR(+VLOOKUP(D688,Master!B:C,2,0),"")</f>
        <v/>
      </c>
      <c r="G688" s="23" t="n"/>
      <c r="H688" s="23">
        <f>+E688*G688</f>
        <v/>
      </c>
    </row>
    <row r="689">
      <c r="A689" s="8" t="n"/>
      <c r="B689" s="7" t="n"/>
      <c r="C689" s="8" t="n"/>
      <c r="D689" s="21" t="n"/>
      <c r="E689" s="22" t="n"/>
      <c r="F689" s="22">
        <f>IFERROR(+VLOOKUP(D689,Master!B:C,2,0),"")</f>
        <v/>
      </c>
      <c r="G689" s="23" t="n"/>
      <c r="H689" s="23">
        <f>+E689*G689</f>
        <v/>
      </c>
    </row>
    <row r="690">
      <c r="A690" s="8" t="n"/>
      <c r="B690" s="7" t="n"/>
      <c r="C690" s="8" t="n"/>
      <c r="D690" s="21" t="n"/>
      <c r="E690" s="22" t="n"/>
      <c r="F690" s="22">
        <f>IFERROR(+VLOOKUP(D690,Master!B:C,2,0),"")</f>
        <v/>
      </c>
      <c r="G690" s="23" t="n"/>
      <c r="H690" s="23">
        <f>+E690*G690</f>
        <v/>
      </c>
    </row>
    <row r="691">
      <c r="A691" s="8" t="n"/>
      <c r="B691" s="7" t="n"/>
      <c r="C691" s="8" t="n"/>
      <c r="D691" s="21" t="n"/>
      <c r="E691" s="22" t="n"/>
      <c r="F691" s="22">
        <f>IFERROR(+VLOOKUP(D691,Master!B:C,2,0),"")</f>
        <v/>
      </c>
      <c r="G691" s="23" t="n"/>
      <c r="H691" s="23">
        <f>+E691*G691</f>
        <v/>
      </c>
    </row>
    <row r="692">
      <c r="A692" s="8" t="n"/>
      <c r="B692" s="7" t="n"/>
      <c r="C692" s="8" t="n"/>
      <c r="D692" s="21" t="n"/>
      <c r="E692" s="22" t="n"/>
      <c r="F692" s="22">
        <f>IFERROR(+VLOOKUP(D692,Master!B:C,2,0),"")</f>
        <v/>
      </c>
      <c r="G692" s="23" t="n"/>
      <c r="H692" s="23">
        <f>+E692*G692</f>
        <v/>
      </c>
    </row>
    <row r="693">
      <c r="A693" s="8" t="n"/>
      <c r="B693" s="7" t="n"/>
      <c r="C693" s="8" t="n"/>
      <c r="D693" s="21" t="n"/>
      <c r="E693" s="22" t="n"/>
      <c r="F693" s="22">
        <f>IFERROR(+VLOOKUP(D693,Master!B:C,2,0),"")</f>
        <v/>
      </c>
      <c r="G693" s="23" t="n"/>
      <c r="H693" s="23">
        <f>+E693*G693</f>
        <v/>
      </c>
    </row>
    <row r="694">
      <c r="A694" s="8" t="n"/>
      <c r="B694" s="7" t="n"/>
      <c r="C694" s="8" t="n"/>
      <c r="D694" s="21" t="n"/>
      <c r="E694" s="22" t="n"/>
      <c r="F694" s="22">
        <f>IFERROR(+VLOOKUP(D694,Master!B:C,2,0),"")</f>
        <v/>
      </c>
      <c r="G694" s="23" t="n"/>
      <c r="H694" s="23">
        <f>+E694*G694</f>
        <v/>
      </c>
    </row>
    <row r="695">
      <c r="A695" s="8" t="n"/>
      <c r="B695" s="7" t="n"/>
      <c r="C695" s="8" t="n"/>
      <c r="D695" s="21" t="n"/>
      <c r="E695" s="22" t="n"/>
      <c r="F695" s="22">
        <f>IFERROR(+VLOOKUP(D695,Master!B:C,2,0),"")</f>
        <v/>
      </c>
      <c r="G695" s="23" t="n"/>
      <c r="H695" s="23">
        <f>+E695*G695</f>
        <v/>
      </c>
    </row>
    <row r="696">
      <c r="A696" s="8" t="n"/>
      <c r="B696" s="7" t="n"/>
      <c r="C696" s="8" t="n"/>
      <c r="D696" s="21" t="n"/>
      <c r="E696" s="22" t="n"/>
      <c r="F696" s="22">
        <f>IFERROR(+VLOOKUP(D696,Master!B:C,2,0),"")</f>
        <v/>
      </c>
      <c r="G696" s="23" t="n"/>
      <c r="H696" s="23">
        <f>+E696*G696</f>
        <v/>
      </c>
    </row>
    <row r="697">
      <c r="A697" s="8" t="n"/>
      <c r="B697" s="7" t="n"/>
      <c r="C697" s="8" t="n"/>
      <c r="D697" s="21" t="n"/>
      <c r="E697" s="22" t="n"/>
      <c r="F697" s="22">
        <f>IFERROR(+VLOOKUP(D697,Master!B:C,2,0),"")</f>
        <v/>
      </c>
      <c r="G697" s="23" t="n"/>
      <c r="H697" s="23">
        <f>+E697*G697</f>
        <v/>
      </c>
    </row>
    <row r="698">
      <c r="A698" s="8" t="n"/>
      <c r="B698" s="7" t="n"/>
      <c r="C698" s="8" t="n"/>
      <c r="D698" s="21" t="n"/>
      <c r="E698" s="22" t="n"/>
      <c r="F698" s="22">
        <f>IFERROR(+VLOOKUP(D698,Master!B:C,2,0),"")</f>
        <v/>
      </c>
      <c r="G698" s="23" t="n"/>
      <c r="H698" s="23">
        <f>+E698*G698</f>
        <v/>
      </c>
    </row>
    <row r="699">
      <c r="A699" s="8" t="n"/>
      <c r="B699" s="7" t="n"/>
      <c r="C699" s="8" t="n"/>
      <c r="D699" s="21" t="n"/>
      <c r="E699" s="22" t="n"/>
      <c r="F699" s="22">
        <f>IFERROR(+VLOOKUP(D699,Master!B:C,2,0),"")</f>
        <v/>
      </c>
      <c r="G699" s="23" t="n"/>
      <c r="H699" s="23">
        <f>+E699*G699</f>
        <v/>
      </c>
    </row>
    <row r="700">
      <c r="A700" s="8" t="n"/>
      <c r="B700" s="7" t="n"/>
      <c r="C700" s="8" t="n"/>
      <c r="D700" s="21" t="n"/>
      <c r="E700" s="22" t="n"/>
      <c r="F700" s="22">
        <f>IFERROR(+VLOOKUP(D700,Master!B:C,2,0),"")</f>
        <v/>
      </c>
      <c r="G700" s="23" t="n"/>
      <c r="H700" s="23">
        <f>+E700*G700</f>
        <v/>
      </c>
    </row>
    <row r="701">
      <c r="A701" s="8" t="n"/>
      <c r="B701" s="7" t="n"/>
      <c r="C701" s="8" t="n"/>
      <c r="D701" s="21" t="n"/>
      <c r="E701" s="22" t="n"/>
      <c r="F701" s="22">
        <f>IFERROR(+VLOOKUP(D701,Master!B:C,2,0),"")</f>
        <v/>
      </c>
      <c r="G701" s="23" t="n"/>
      <c r="H701" s="23">
        <f>+E701*G701</f>
        <v/>
      </c>
    </row>
    <row r="702">
      <c r="A702" s="8" t="n"/>
      <c r="B702" s="7" t="n"/>
      <c r="C702" s="8" t="n"/>
      <c r="D702" s="21" t="n"/>
      <c r="E702" s="22" t="n"/>
      <c r="F702" s="22">
        <f>IFERROR(+VLOOKUP(D702,Master!B:C,2,0),"")</f>
        <v/>
      </c>
      <c r="G702" s="23" t="n"/>
      <c r="H702" s="23">
        <f>+E702*G702</f>
        <v/>
      </c>
    </row>
    <row r="703">
      <c r="A703" s="8" t="n"/>
      <c r="B703" s="7" t="n"/>
      <c r="C703" s="8" t="n"/>
      <c r="D703" s="21" t="n"/>
      <c r="E703" s="22" t="n"/>
      <c r="F703" s="22">
        <f>IFERROR(+VLOOKUP(D703,Master!B:C,2,0),"")</f>
        <v/>
      </c>
      <c r="G703" s="23" t="n"/>
      <c r="H703" s="23">
        <f>+E703*G703</f>
        <v/>
      </c>
    </row>
    <row r="704">
      <c r="A704" s="8" t="n"/>
      <c r="B704" s="7" t="n"/>
      <c r="C704" s="8" t="n"/>
      <c r="D704" s="21" t="n"/>
      <c r="E704" s="22" t="n"/>
      <c r="F704" s="22">
        <f>IFERROR(+VLOOKUP(D704,Master!B:C,2,0),"")</f>
        <v/>
      </c>
      <c r="G704" s="23" t="n"/>
      <c r="H704" s="23">
        <f>+E704*G704</f>
        <v/>
      </c>
    </row>
    <row r="705">
      <c r="A705" s="8" t="n"/>
      <c r="B705" s="7" t="n"/>
      <c r="C705" s="8" t="n"/>
      <c r="D705" s="21" t="n"/>
      <c r="E705" s="22" t="n"/>
      <c r="F705" s="22">
        <f>IFERROR(+VLOOKUP(D705,Master!B:C,2,0),"")</f>
        <v/>
      </c>
      <c r="G705" s="23" t="n"/>
      <c r="H705" s="23">
        <f>+E705*G705</f>
        <v/>
      </c>
    </row>
    <row r="706">
      <c r="A706" s="8" t="n"/>
      <c r="B706" s="7" t="n"/>
      <c r="C706" s="8" t="n"/>
      <c r="D706" s="21" t="n"/>
      <c r="E706" s="22" t="n"/>
      <c r="F706" s="22">
        <f>IFERROR(+VLOOKUP(D706,Master!B:C,2,0),"")</f>
        <v/>
      </c>
      <c r="G706" s="23" t="n"/>
      <c r="H706" s="23">
        <f>+E706*G706</f>
        <v/>
      </c>
    </row>
    <row r="707">
      <c r="A707" s="8" t="n"/>
      <c r="B707" s="7" t="n"/>
      <c r="C707" s="8" t="n"/>
      <c r="D707" s="21" t="n"/>
      <c r="E707" s="22" t="n"/>
      <c r="F707" s="22">
        <f>IFERROR(+VLOOKUP(D707,Master!B:C,2,0),"")</f>
        <v/>
      </c>
      <c r="G707" s="23" t="n"/>
      <c r="H707" s="23">
        <f>+E707*G707</f>
        <v/>
      </c>
    </row>
    <row r="708">
      <c r="A708" s="8" t="n"/>
      <c r="B708" s="7" t="n"/>
      <c r="C708" s="8" t="n"/>
      <c r="D708" s="21" t="n"/>
      <c r="E708" s="22" t="n"/>
      <c r="F708" s="22">
        <f>IFERROR(+VLOOKUP(D708,Master!B:C,2,0),"")</f>
        <v/>
      </c>
      <c r="G708" s="23" t="n"/>
      <c r="H708" s="23">
        <f>+E708*G708</f>
        <v/>
      </c>
    </row>
    <row r="709">
      <c r="A709" s="8" t="n"/>
      <c r="B709" s="7" t="n"/>
      <c r="C709" s="8" t="n"/>
      <c r="D709" s="21" t="n"/>
      <c r="E709" s="22" t="n"/>
      <c r="F709" s="22">
        <f>IFERROR(+VLOOKUP(D709,Master!B:C,2,0),"")</f>
        <v/>
      </c>
      <c r="G709" s="23" t="n"/>
      <c r="H709" s="23">
        <f>+E709*G709</f>
        <v/>
      </c>
    </row>
    <row r="710">
      <c r="A710" s="8" t="n"/>
      <c r="B710" s="7" t="n"/>
      <c r="C710" s="8" t="n"/>
      <c r="D710" s="21" t="n"/>
      <c r="E710" s="22" t="n"/>
      <c r="F710" s="22">
        <f>IFERROR(+VLOOKUP(D710,Master!B:C,2,0),"")</f>
        <v/>
      </c>
      <c r="G710" s="23" t="n"/>
      <c r="H710" s="23">
        <f>+E710*G710</f>
        <v/>
      </c>
    </row>
    <row r="711">
      <c r="A711" s="8" t="n"/>
      <c r="B711" s="7" t="n"/>
      <c r="C711" s="8" t="n"/>
      <c r="D711" s="21" t="n"/>
      <c r="E711" s="22" t="n"/>
      <c r="F711" s="22">
        <f>IFERROR(+VLOOKUP(D711,Master!B:C,2,0),"")</f>
        <v/>
      </c>
      <c r="G711" s="23" t="n"/>
      <c r="H711" s="23">
        <f>+E711*G711</f>
        <v/>
      </c>
    </row>
    <row r="712">
      <c r="A712" s="8" t="n"/>
      <c r="B712" s="7" t="n"/>
      <c r="C712" s="8" t="n"/>
      <c r="D712" s="21" t="n"/>
      <c r="E712" s="22" t="n"/>
      <c r="F712" s="22">
        <f>IFERROR(+VLOOKUP(D712,Master!B:C,2,0),"")</f>
        <v/>
      </c>
      <c r="G712" s="23" t="n"/>
      <c r="H712" s="23">
        <f>+E712*G712</f>
        <v/>
      </c>
    </row>
    <row r="713">
      <c r="A713" s="8" t="n"/>
      <c r="B713" s="7" t="n"/>
      <c r="C713" s="8" t="n"/>
      <c r="D713" s="21" t="n"/>
      <c r="E713" s="22" t="n"/>
      <c r="F713" s="22">
        <f>IFERROR(+VLOOKUP(D713,Master!B:C,2,0),"")</f>
        <v/>
      </c>
      <c r="G713" s="23" t="n"/>
      <c r="H713" s="23">
        <f>+E713*G713</f>
        <v/>
      </c>
    </row>
    <row r="714">
      <c r="A714" s="8" t="n"/>
      <c r="B714" s="7" t="n"/>
      <c r="C714" s="8" t="n"/>
      <c r="D714" s="21" t="n"/>
      <c r="E714" s="22" t="n"/>
      <c r="F714" s="22">
        <f>IFERROR(+VLOOKUP(D714,Master!B:C,2,0),"")</f>
        <v/>
      </c>
      <c r="G714" s="23" t="n"/>
      <c r="H714" s="23">
        <f>+E714*G714</f>
        <v/>
      </c>
    </row>
    <row r="715">
      <c r="A715" s="8" t="n"/>
      <c r="B715" s="7" t="n"/>
      <c r="C715" s="8" t="n"/>
      <c r="D715" s="21" t="n"/>
      <c r="E715" s="22" t="n"/>
      <c r="F715" s="22">
        <f>IFERROR(+VLOOKUP(D715,Master!B:C,2,0),"")</f>
        <v/>
      </c>
      <c r="G715" s="23" t="n"/>
      <c r="H715" s="23">
        <f>+E715*G715</f>
        <v/>
      </c>
    </row>
    <row r="716">
      <c r="A716" s="8" t="n"/>
      <c r="B716" s="7" t="n"/>
      <c r="C716" s="8" t="n"/>
      <c r="D716" s="21" t="n"/>
      <c r="E716" s="22" t="n"/>
      <c r="F716" s="22">
        <f>IFERROR(+VLOOKUP(D716,Master!B:C,2,0),"")</f>
        <v/>
      </c>
      <c r="G716" s="23" t="n"/>
      <c r="H716" s="23">
        <f>+E716*G716</f>
        <v/>
      </c>
    </row>
    <row r="717">
      <c r="A717" s="8" t="n"/>
      <c r="B717" s="7" t="n"/>
      <c r="C717" s="8" t="n"/>
      <c r="D717" s="21" t="n"/>
      <c r="E717" s="22" t="n"/>
      <c r="F717" s="22">
        <f>IFERROR(+VLOOKUP(D717,Master!B:C,2,0),"")</f>
        <v/>
      </c>
      <c r="G717" s="23" t="n"/>
      <c r="H717" s="23">
        <f>+E717*G717</f>
        <v/>
      </c>
    </row>
    <row r="718">
      <c r="A718" s="8" t="n"/>
      <c r="B718" s="7" t="n"/>
      <c r="C718" s="8" t="n"/>
      <c r="D718" s="21" t="n"/>
      <c r="E718" s="22" t="n"/>
      <c r="F718" s="22">
        <f>IFERROR(+VLOOKUP(D718,Master!B:C,2,0),"")</f>
        <v/>
      </c>
      <c r="G718" s="23" t="n"/>
      <c r="H718" s="23">
        <f>+E718*G718</f>
        <v/>
      </c>
    </row>
    <row r="719">
      <c r="A719" s="8" t="n"/>
      <c r="B719" s="7" t="n"/>
      <c r="C719" s="8" t="n"/>
      <c r="D719" s="21" t="n"/>
      <c r="E719" s="22" t="n"/>
      <c r="F719" s="22">
        <f>IFERROR(+VLOOKUP(D719,Master!B:C,2,0),"")</f>
        <v/>
      </c>
      <c r="G719" s="23" t="n"/>
      <c r="H719" s="23">
        <f>+E719*G719</f>
        <v/>
      </c>
    </row>
    <row r="720">
      <c r="A720" s="8" t="n"/>
      <c r="B720" s="7" t="n"/>
      <c r="C720" s="8" t="n"/>
      <c r="D720" s="21" t="n"/>
      <c r="E720" s="22" t="n"/>
      <c r="F720" s="22">
        <f>IFERROR(+VLOOKUP(D720,Master!B:C,2,0),"")</f>
        <v/>
      </c>
      <c r="G720" s="23" t="n"/>
      <c r="H720" s="23">
        <f>+E720*G720</f>
        <v/>
      </c>
    </row>
    <row r="721">
      <c r="A721" s="8" t="n"/>
      <c r="B721" s="7" t="n"/>
      <c r="C721" s="8" t="n"/>
      <c r="D721" s="21" t="n"/>
      <c r="E721" s="22" t="n"/>
      <c r="F721" s="22">
        <f>IFERROR(+VLOOKUP(D721,Master!B:C,2,0),"")</f>
        <v/>
      </c>
      <c r="G721" s="23" t="n"/>
      <c r="H721" s="23">
        <f>+E721*G721</f>
        <v/>
      </c>
    </row>
    <row r="722">
      <c r="A722" s="8" t="n"/>
      <c r="B722" s="7" t="n"/>
      <c r="C722" s="8" t="n"/>
      <c r="D722" s="21" t="n"/>
      <c r="E722" s="22" t="n"/>
      <c r="F722" s="22">
        <f>IFERROR(+VLOOKUP(D722,Master!B:C,2,0),"")</f>
        <v/>
      </c>
      <c r="G722" s="23" t="n"/>
      <c r="H722" s="23">
        <f>+E722*G722</f>
        <v/>
      </c>
    </row>
    <row r="723">
      <c r="A723" s="8" t="n"/>
      <c r="B723" s="7" t="n"/>
      <c r="C723" s="8" t="n"/>
      <c r="D723" s="21" t="n"/>
      <c r="E723" s="22" t="n"/>
      <c r="F723" s="22">
        <f>IFERROR(+VLOOKUP(D723,Master!B:C,2,0),"")</f>
        <v/>
      </c>
      <c r="G723" s="23" t="n"/>
      <c r="H723" s="23">
        <f>+E723*G723</f>
        <v/>
      </c>
    </row>
    <row r="724">
      <c r="A724" s="8" t="n"/>
      <c r="B724" s="7" t="n"/>
      <c r="C724" s="8" t="n"/>
      <c r="D724" s="21" t="n"/>
      <c r="E724" s="22" t="n"/>
      <c r="F724" s="22">
        <f>IFERROR(+VLOOKUP(D724,Master!B:C,2,0),"")</f>
        <v/>
      </c>
      <c r="G724" s="23" t="n"/>
      <c r="H724" s="23">
        <f>+E724*G724</f>
        <v/>
      </c>
    </row>
    <row r="725">
      <c r="A725" s="8" t="n"/>
      <c r="B725" s="7" t="n"/>
      <c r="C725" s="8" t="n"/>
      <c r="D725" s="21" t="n"/>
      <c r="E725" s="22" t="n"/>
      <c r="F725" s="22">
        <f>IFERROR(+VLOOKUP(D725,Master!B:C,2,0),"")</f>
        <v/>
      </c>
      <c r="G725" s="23" t="n"/>
      <c r="H725" s="23">
        <f>+E725*G725</f>
        <v/>
      </c>
    </row>
    <row r="726">
      <c r="A726" s="8" t="n"/>
      <c r="B726" s="7" t="n"/>
      <c r="C726" s="8" t="n"/>
      <c r="D726" s="21" t="n"/>
      <c r="E726" s="22" t="n"/>
      <c r="F726" s="22">
        <f>IFERROR(+VLOOKUP(D726,Master!B:C,2,0),"")</f>
        <v/>
      </c>
      <c r="G726" s="23" t="n"/>
      <c r="H726" s="23">
        <f>+E726*G726</f>
        <v/>
      </c>
    </row>
    <row r="727">
      <c r="A727" s="8" t="n"/>
      <c r="B727" s="7" t="n"/>
      <c r="C727" s="8" t="n"/>
      <c r="D727" s="21" t="n"/>
      <c r="E727" s="22" t="n"/>
      <c r="F727" s="22">
        <f>IFERROR(+VLOOKUP(D727,Master!B:C,2,0),"")</f>
        <v/>
      </c>
      <c r="G727" s="23" t="n"/>
      <c r="H727" s="23">
        <f>+E727*G727</f>
        <v/>
      </c>
    </row>
    <row r="728">
      <c r="A728" s="8" t="n"/>
      <c r="B728" s="7" t="n"/>
      <c r="C728" s="8" t="n"/>
      <c r="D728" s="21" t="n"/>
      <c r="E728" s="22" t="n"/>
      <c r="F728" s="22">
        <f>IFERROR(+VLOOKUP(D728,Master!B:C,2,0),"")</f>
        <v/>
      </c>
      <c r="G728" s="23" t="n"/>
      <c r="H728" s="23">
        <f>+E728*G728</f>
        <v/>
      </c>
    </row>
    <row r="729">
      <c r="A729" s="8" t="n"/>
      <c r="B729" s="7" t="n"/>
      <c r="C729" s="8" t="n"/>
      <c r="D729" s="21" t="n"/>
      <c r="E729" s="22" t="n"/>
      <c r="F729" s="22">
        <f>IFERROR(+VLOOKUP(D729,Master!B:C,2,0),"")</f>
        <v/>
      </c>
      <c r="G729" s="23" t="n"/>
      <c r="H729" s="23">
        <f>+E729*G729</f>
        <v/>
      </c>
    </row>
    <row r="730">
      <c r="A730" s="8" t="n"/>
      <c r="B730" s="7" t="n"/>
      <c r="C730" s="8" t="n"/>
      <c r="D730" s="21" t="n"/>
      <c r="E730" s="22" t="n"/>
      <c r="F730" s="22">
        <f>IFERROR(+VLOOKUP(D730,Master!B:C,2,0),"")</f>
        <v/>
      </c>
      <c r="G730" s="23" t="n"/>
      <c r="H730" s="23">
        <f>+E730*G730</f>
        <v/>
      </c>
    </row>
    <row r="731">
      <c r="A731" s="8" t="n"/>
      <c r="B731" s="7" t="n"/>
      <c r="C731" s="8" t="n"/>
      <c r="D731" s="21" t="n"/>
      <c r="E731" s="22" t="n"/>
      <c r="F731" s="22">
        <f>IFERROR(+VLOOKUP(D731,Master!B:C,2,0),"")</f>
        <v/>
      </c>
      <c r="G731" s="23" t="n"/>
      <c r="H731" s="23">
        <f>+E731*G731</f>
        <v/>
      </c>
    </row>
    <row r="732">
      <c r="A732" s="8" t="n"/>
      <c r="B732" s="7" t="n"/>
      <c r="C732" s="8" t="n"/>
      <c r="D732" s="21" t="n"/>
      <c r="E732" s="22" t="n"/>
      <c r="F732" s="22">
        <f>IFERROR(+VLOOKUP(D732,Master!B:C,2,0),"")</f>
        <v/>
      </c>
      <c r="G732" s="23" t="n"/>
      <c r="H732" s="23">
        <f>+E732*G732</f>
        <v/>
      </c>
    </row>
    <row r="733">
      <c r="A733" s="8" t="n"/>
      <c r="B733" s="7" t="n"/>
      <c r="C733" s="8" t="n"/>
      <c r="D733" s="21" t="n"/>
      <c r="E733" s="22" t="n"/>
      <c r="F733" s="22">
        <f>IFERROR(+VLOOKUP(D733,Master!B:C,2,0),"")</f>
        <v/>
      </c>
      <c r="G733" s="23" t="n"/>
      <c r="H733" s="23">
        <f>+E733*G733</f>
        <v/>
      </c>
    </row>
    <row r="734">
      <c r="A734" s="8" t="n"/>
      <c r="B734" s="7" t="n"/>
      <c r="C734" s="8" t="n"/>
      <c r="D734" s="21" t="n"/>
      <c r="E734" s="22" t="n"/>
      <c r="F734" s="22">
        <f>IFERROR(+VLOOKUP(D734,Master!B:C,2,0),"")</f>
        <v/>
      </c>
      <c r="G734" s="23" t="n"/>
      <c r="H734" s="23">
        <f>+E734*G734</f>
        <v/>
      </c>
    </row>
    <row r="735">
      <c r="A735" s="8" t="n"/>
      <c r="B735" s="7" t="n"/>
      <c r="C735" s="8" t="n"/>
      <c r="D735" s="21" t="n"/>
      <c r="E735" s="22" t="n"/>
      <c r="F735" s="22">
        <f>IFERROR(+VLOOKUP(D735,Master!B:C,2,0),"")</f>
        <v/>
      </c>
      <c r="G735" s="23" t="n"/>
      <c r="H735" s="23">
        <f>+E735*G735</f>
        <v/>
      </c>
    </row>
    <row r="736">
      <c r="A736" s="8" t="n"/>
      <c r="B736" s="7" t="n"/>
      <c r="C736" s="8" t="n"/>
      <c r="D736" s="21" t="n"/>
      <c r="E736" s="22" t="n"/>
      <c r="F736" s="22">
        <f>IFERROR(+VLOOKUP(D736,Master!B:C,2,0),"")</f>
        <v/>
      </c>
      <c r="G736" s="23" t="n"/>
      <c r="H736" s="23">
        <f>+E736*G736</f>
        <v/>
      </c>
    </row>
    <row r="737">
      <c r="A737" s="8" t="n"/>
      <c r="B737" s="7" t="n"/>
      <c r="C737" s="8" t="n"/>
      <c r="D737" s="21" t="n"/>
      <c r="E737" s="22" t="n"/>
      <c r="F737" s="22">
        <f>IFERROR(+VLOOKUP(D737,Master!B:C,2,0),"")</f>
        <v/>
      </c>
      <c r="G737" s="23" t="n"/>
      <c r="H737" s="23">
        <f>+E737*G737</f>
        <v/>
      </c>
    </row>
    <row r="738">
      <c r="A738" s="8" t="n"/>
      <c r="B738" s="7" t="n"/>
      <c r="C738" s="8" t="n"/>
      <c r="D738" s="21" t="n"/>
      <c r="E738" s="22" t="n"/>
      <c r="F738" s="22">
        <f>IFERROR(+VLOOKUP(D738,Master!B:C,2,0),"")</f>
        <v/>
      </c>
      <c r="G738" s="23" t="n"/>
      <c r="H738" s="23">
        <f>+E738*G738</f>
        <v/>
      </c>
    </row>
    <row r="739">
      <c r="A739" s="8" t="n"/>
      <c r="B739" s="7" t="n"/>
      <c r="C739" s="8" t="n"/>
      <c r="D739" s="21" t="n"/>
      <c r="E739" s="22" t="n"/>
      <c r="F739" s="22">
        <f>IFERROR(+VLOOKUP(D739,Master!B:C,2,0),"")</f>
        <v/>
      </c>
      <c r="G739" s="23" t="n"/>
      <c r="H739" s="23">
        <f>+E739*G739</f>
        <v/>
      </c>
    </row>
    <row r="740">
      <c r="A740" s="8" t="n"/>
      <c r="B740" s="7" t="n"/>
      <c r="C740" s="8" t="n"/>
      <c r="D740" s="21" t="n"/>
      <c r="E740" s="22" t="n"/>
      <c r="F740" s="22">
        <f>IFERROR(+VLOOKUP(D740,Master!B:C,2,0),"")</f>
        <v/>
      </c>
      <c r="G740" s="23" t="n"/>
      <c r="H740" s="23">
        <f>+E740*G740</f>
        <v/>
      </c>
    </row>
    <row r="741">
      <c r="A741" s="8" t="n"/>
      <c r="B741" s="7" t="n"/>
      <c r="C741" s="8" t="n"/>
      <c r="D741" s="21" t="n"/>
      <c r="E741" s="22" t="n"/>
      <c r="F741" s="22">
        <f>IFERROR(+VLOOKUP(D741,Master!B:C,2,0),"")</f>
        <v/>
      </c>
      <c r="G741" s="23" t="n"/>
      <c r="H741" s="23">
        <f>+E741*G741</f>
        <v/>
      </c>
    </row>
    <row r="742">
      <c r="A742" s="8" t="n"/>
      <c r="B742" s="7" t="n"/>
      <c r="C742" s="8" t="n"/>
      <c r="D742" s="21" t="n"/>
      <c r="E742" s="22" t="n"/>
      <c r="F742" s="22">
        <f>IFERROR(+VLOOKUP(D742,Master!B:C,2,0),"")</f>
        <v/>
      </c>
      <c r="G742" s="23" t="n"/>
      <c r="H742" s="23">
        <f>+E742*G742</f>
        <v/>
      </c>
    </row>
    <row r="743">
      <c r="A743" s="8" t="n"/>
      <c r="B743" s="7" t="n"/>
      <c r="C743" s="8" t="n"/>
      <c r="D743" s="21" t="n"/>
      <c r="E743" s="22" t="n"/>
      <c r="F743" s="22">
        <f>IFERROR(+VLOOKUP(D743,Master!B:C,2,0),"")</f>
        <v/>
      </c>
      <c r="G743" s="23" t="n"/>
      <c r="H743" s="23">
        <f>+E743*G743</f>
        <v/>
      </c>
    </row>
    <row r="744">
      <c r="A744" s="8" t="n"/>
      <c r="B744" s="7" t="n"/>
      <c r="C744" s="8" t="n"/>
      <c r="D744" s="21" t="n"/>
      <c r="E744" s="22" t="n"/>
      <c r="F744" s="22">
        <f>IFERROR(+VLOOKUP(D744,Master!B:C,2,0),"")</f>
        <v/>
      </c>
      <c r="G744" s="23" t="n"/>
      <c r="H744" s="23">
        <f>+E744*G744</f>
        <v/>
      </c>
    </row>
    <row r="745">
      <c r="A745" s="8" t="n"/>
      <c r="B745" s="7" t="n"/>
      <c r="C745" s="8" t="n"/>
      <c r="D745" s="21" t="n"/>
      <c r="E745" s="22" t="n"/>
      <c r="F745" s="22">
        <f>IFERROR(+VLOOKUP(D745,Master!B:C,2,0),"")</f>
        <v/>
      </c>
      <c r="G745" s="23" t="n"/>
      <c r="H745" s="23">
        <f>+E745*G745</f>
        <v/>
      </c>
    </row>
    <row r="746">
      <c r="A746" s="8" t="n"/>
      <c r="B746" s="7" t="n"/>
      <c r="C746" s="8" t="n"/>
      <c r="D746" s="21" t="n"/>
      <c r="E746" s="22" t="n"/>
      <c r="F746" s="22">
        <f>IFERROR(+VLOOKUP(D746,Master!B:C,2,0),"")</f>
        <v/>
      </c>
      <c r="G746" s="23" t="n"/>
      <c r="H746" s="23">
        <f>+E746*G746</f>
        <v/>
      </c>
    </row>
    <row r="747">
      <c r="A747" s="8" t="n"/>
      <c r="B747" s="7" t="n"/>
      <c r="C747" s="8" t="n"/>
      <c r="D747" s="21" t="n"/>
      <c r="E747" s="22" t="n"/>
      <c r="F747" s="22">
        <f>IFERROR(+VLOOKUP(D747,Master!B:C,2,0),"")</f>
        <v/>
      </c>
      <c r="G747" s="23" t="n"/>
      <c r="H747" s="23">
        <f>+E747*G747</f>
        <v/>
      </c>
    </row>
    <row r="748">
      <c r="A748" s="8" t="n"/>
      <c r="B748" s="7" t="n"/>
      <c r="C748" s="8" t="n"/>
      <c r="D748" s="21" t="n"/>
      <c r="E748" s="22" t="n"/>
      <c r="F748" s="22">
        <f>IFERROR(+VLOOKUP(D748,Master!B:C,2,0),"")</f>
        <v/>
      </c>
      <c r="G748" s="23" t="n"/>
      <c r="H748" s="23">
        <f>+E748*G748</f>
        <v/>
      </c>
    </row>
    <row r="749">
      <c r="A749" s="8" t="n"/>
      <c r="B749" s="7" t="n"/>
      <c r="C749" s="8" t="n"/>
      <c r="D749" s="21" t="n"/>
      <c r="E749" s="22" t="n"/>
      <c r="F749" s="22">
        <f>IFERROR(+VLOOKUP(D749,Master!B:C,2,0),"")</f>
        <v/>
      </c>
      <c r="G749" s="23" t="n"/>
      <c r="H749" s="23">
        <f>+E749*G749</f>
        <v/>
      </c>
    </row>
    <row r="750">
      <c r="A750" s="8" t="n"/>
      <c r="B750" s="7" t="n"/>
      <c r="C750" s="8" t="n"/>
      <c r="D750" s="21" t="n"/>
      <c r="E750" s="22" t="n"/>
      <c r="F750" s="22">
        <f>IFERROR(+VLOOKUP(D750,Master!B:C,2,0),"")</f>
        <v/>
      </c>
      <c r="G750" s="23" t="n"/>
      <c r="H750" s="23">
        <f>+E750*G750</f>
        <v/>
      </c>
    </row>
    <row r="751">
      <c r="A751" s="8" t="n"/>
      <c r="B751" s="7" t="n"/>
      <c r="C751" s="8" t="n"/>
      <c r="D751" s="21" t="n"/>
      <c r="E751" s="22" t="n"/>
      <c r="F751" s="22">
        <f>IFERROR(+VLOOKUP(D751,Master!B:C,2,0),"")</f>
        <v/>
      </c>
      <c r="G751" s="23" t="n"/>
      <c r="H751" s="23">
        <f>+E751*G751</f>
        <v/>
      </c>
    </row>
    <row r="752">
      <c r="A752" s="8" t="n"/>
      <c r="B752" s="7" t="n"/>
      <c r="C752" s="8" t="n"/>
      <c r="D752" s="21" t="n"/>
      <c r="E752" s="22" t="n"/>
      <c r="F752" s="22">
        <f>IFERROR(+VLOOKUP(D752,Master!B:C,2,0),"")</f>
        <v/>
      </c>
      <c r="G752" s="23" t="n"/>
      <c r="H752" s="23">
        <f>+E752*G752</f>
        <v/>
      </c>
    </row>
    <row r="753">
      <c r="A753" s="8" t="n"/>
      <c r="B753" s="7" t="n"/>
      <c r="C753" s="8" t="n"/>
      <c r="D753" s="21" t="n"/>
      <c r="E753" s="22" t="n"/>
      <c r="F753" s="22">
        <f>IFERROR(+VLOOKUP(D753,Master!B:C,2,0),"")</f>
        <v/>
      </c>
      <c r="G753" s="23" t="n"/>
      <c r="H753" s="23">
        <f>+E753*G753</f>
        <v/>
      </c>
    </row>
    <row r="754">
      <c r="A754" s="8" t="n"/>
      <c r="B754" s="7" t="n"/>
      <c r="C754" s="8" t="n"/>
      <c r="D754" s="21" t="n"/>
      <c r="E754" s="22" t="n"/>
      <c r="F754" s="22">
        <f>IFERROR(+VLOOKUP(D754,Master!B:C,2,0),"")</f>
        <v/>
      </c>
      <c r="G754" s="23" t="n"/>
      <c r="H754" s="23">
        <f>+E754*G754</f>
        <v/>
      </c>
    </row>
    <row r="755">
      <c r="A755" s="8" t="n"/>
      <c r="B755" s="7" t="n"/>
      <c r="C755" s="8" t="n"/>
      <c r="D755" s="21" t="n"/>
      <c r="E755" s="22" t="n"/>
      <c r="F755" s="22">
        <f>IFERROR(+VLOOKUP(D755,Master!B:C,2,0),"")</f>
        <v/>
      </c>
      <c r="G755" s="23" t="n"/>
      <c r="H755" s="23">
        <f>+E755*G755</f>
        <v/>
      </c>
    </row>
    <row r="756">
      <c r="A756" s="8" t="n"/>
      <c r="B756" s="7" t="n"/>
      <c r="C756" s="8" t="n"/>
      <c r="D756" s="21" t="n"/>
      <c r="E756" s="22" t="n"/>
      <c r="F756" s="22">
        <f>IFERROR(+VLOOKUP(D756,Master!B:C,2,0),"")</f>
        <v/>
      </c>
      <c r="G756" s="23" t="n"/>
      <c r="H756" s="23">
        <f>+E756*G756</f>
        <v/>
      </c>
    </row>
    <row r="757">
      <c r="A757" s="8" t="n"/>
      <c r="B757" s="7" t="n"/>
      <c r="C757" s="8" t="n"/>
      <c r="D757" s="21" t="n"/>
      <c r="E757" s="22" t="n"/>
      <c r="F757" s="22">
        <f>IFERROR(+VLOOKUP(D757,Master!B:C,2,0),"")</f>
        <v/>
      </c>
      <c r="G757" s="23" t="n"/>
      <c r="H757" s="23">
        <f>+E757*G757</f>
        <v/>
      </c>
    </row>
    <row r="758">
      <c r="A758" s="8" t="n"/>
      <c r="B758" s="7" t="n"/>
      <c r="C758" s="8" t="n"/>
      <c r="D758" s="21" t="n"/>
      <c r="E758" s="22" t="n"/>
      <c r="F758" s="22">
        <f>IFERROR(+VLOOKUP(D758,Master!B:C,2,0),"")</f>
        <v/>
      </c>
      <c r="G758" s="23" t="n"/>
      <c r="H758" s="23">
        <f>+E758*G758</f>
        <v/>
      </c>
    </row>
    <row r="759">
      <c r="A759" s="8" t="n"/>
      <c r="B759" s="7" t="n"/>
      <c r="C759" s="8" t="n"/>
      <c r="D759" s="21" t="n"/>
      <c r="E759" s="22" t="n"/>
      <c r="F759" s="22">
        <f>IFERROR(+VLOOKUP(D759,Master!B:C,2,0),"")</f>
        <v/>
      </c>
      <c r="G759" s="23" t="n"/>
      <c r="H759" s="23">
        <f>+E759*G759</f>
        <v/>
      </c>
    </row>
    <row r="760">
      <c r="A760" s="8" t="n"/>
      <c r="B760" s="7" t="n"/>
      <c r="C760" s="8" t="n"/>
      <c r="D760" s="21" t="n"/>
      <c r="E760" s="22" t="n"/>
      <c r="F760" s="22">
        <f>IFERROR(+VLOOKUP(D760,Master!B:C,2,0),"")</f>
        <v/>
      </c>
      <c r="G760" s="23" t="n"/>
      <c r="H760" s="23">
        <f>+E760*G760</f>
        <v/>
      </c>
    </row>
    <row r="761">
      <c r="A761" s="8" t="n"/>
      <c r="B761" s="7" t="n"/>
      <c r="C761" s="8" t="n"/>
      <c r="D761" s="21" t="n"/>
      <c r="E761" s="22" t="n"/>
      <c r="F761" s="22">
        <f>IFERROR(+VLOOKUP(D761,Master!B:C,2,0),"")</f>
        <v/>
      </c>
      <c r="G761" s="23" t="n"/>
      <c r="H761" s="23">
        <f>+E761*G761</f>
        <v/>
      </c>
    </row>
    <row r="762">
      <c r="A762" s="8" t="n"/>
      <c r="B762" s="7" t="n"/>
      <c r="C762" s="8" t="n"/>
      <c r="D762" s="21" t="n"/>
      <c r="E762" s="22" t="n"/>
      <c r="F762" s="22">
        <f>IFERROR(+VLOOKUP(D762,Master!B:C,2,0),"")</f>
        <v/>
      </c>
      <c r="G762" s="23" t="n"/>
      <c r="H762" s="23">
        <f>+E762*G762</f>
        <v/>
      </c>
    </row>
    <row r="763">
      <c r="A763" s="8" t="n"/>
      <c r="B763" s="7" t="n"/>
      <c r="C763" s="8" t="n"/>
      <c r="D763" s="21" t="n"/>
      <c r="E763" s="22" t="n"/>
      <c r="F763" s="22">
        <f>IFERROR(+VLOOKUP(D763,Master!B:C,2,0),"")</f>
        <v/>
      </c>
      <c r="G763" s="23" t="n"/>
      <c r="H763" s="23">
        <f>+E763*G763</f>
        <v/>
      </c>
    </row>
    <row r="764">
      <c r="A764" s="8" t="n"/>
      <c r="B764" s="7" t="n"/>
      <c r="C764" s="8" t="n"/>
      <c r="D764" s="21" t="n"/>
      <c r="E764" s="22" t="n"/>
      <c r="F764" s="22">
        <f>IFERROR(+VLOOKUP(D764,Master!B:C,2,0),"")</f>
        <v/>
      </c>
      <c r="G764" s="23" t="n"/>
      <c r="H764" s="23">
        <f>+E764*G764</f>
        <v/>
      </c>
    </row>
    <row r="765">
      <c r="A765" s="8" t="n"/>
      <c r="B765" s="7" t="n"/>
      <c r="C765" s="8" t="n"/>
      <c r="D765" s="21" t="n"/>
      <c r="E765" s="22" t="n"/>
      <c r="F765" s="22">
        <f>IFERROR(+VLOOKUP(D765,Master!B:C,2,0),"")</f>
        <v/>
      </c>
      <c r="G765" s="23" t="n"/>
      <c r="H765" s="23">
        <f>+E765*G765</f>
        <v/>
      </c>
    </row>
    <row r="766">
      <c r="A766" s="8" t="n"/>
      <c r="B766" s="7" t="n"/>
      <c r="C766" s="8" t="n"/>
      <c r="D766" s="21" t="n"/>
      <c r="E766" s="22" t="n"/>
      <c r="F766" s="22">
        <f>IFERROR(+VLOOKUP(D766,Master!B:C,2,0),"")</f>
        <v/>
      </c>
      <c r="G766" s="23" t="n"/>
      <c r="H766" s="23">
        <f>+E766*G766</f>
        <v/>
      </c>
    </row>
    <row r="767">
      <c r="A767" s="8" t="n"/>
      <c r="B767" s="7" t="n"/>
      <c r="C767" s="8" t="n"/>
      <c r="D767" s="21" t="n"/>
      <c r="E767" s="22" t="n"/>
      <c r="F767" s="22">
        <f>IFERROR(+VLOOKUP(D767,Master!B:C,2,0),"")</f>
        <v/>
      </c>
      <c r="G767" s="23" t="n"/>
      <c r="H767" s="23">
        <f>+E767*G767</f>
        <v/>
      </c>
    </row>
    <row r="768">
      <c r="A768" s="8" t="n"/>
      <c r="B768" s="7" t="n"/>
      <c r="C768" s="8" t="n"/>
      <c r="D768" s="21" t="n"/>
      <c r="E768" s="22" t="n"/>
      <c r="F768" s="22">
        <f>IFERROR(+VLOOKUP(D768,Master!B:C,2,0),"")</f>
        <v/>
      </c>
      <c r="G768" s="23" t="n"/>
      <c r="H768" s="23">
        <f>+E768*G768</f>
        <v/>
      </c>
    </row>
    <row r="769">
      <c r="A769" s="8" t="n"/>
      <c r="B769" s="7" t="n"/>
      <c r="C769" s="8" t="n"/>
      <c r="D769" s="21" t="n"/>
      <c r="E769" s="22" t="n"/>
      <c r="F769" s="22">
        <f>IFERROR(+VLOOKUP(D769,Master!B:C,2,0),"")</f>
        <v/>
      </c>
      <c r="G769" s="23" t="n"/>
      <c r="H769" s="23">
        <f>+E769*G769</f>
        <v/>
      </c>
    </row>
    <row r="770">
      <c r="A770" s="8" t="n"/>
      <c r="B770" s="7" t="n"/>
      <c r="C770" s="8" t="n"/>
      <c r="D770" s="21" t="n"/>
      <c r="E770" s="22" t="n"/>
      <c r="F770" s="22">
        <f>IFERROR(+VLOOKUP(D770,Master!B:C,2,0),"")</f>
        <v/>
      </c>
      <c r="G770" s="23" t="n"/>
      <c r="H770" s="23">
        <f>+E770*G770</f>
        <v/>
      </c>
    </row>
    <row r="771">
      <c r="A771" s="8" t="n"/>
      <c r="B771" s="7" t="n"/>
      <c r="C771" s="8" t="n"/>
      <c r="D771" s="21" t="n"/>
      <c r="E771" s="22" t="n"/>
      <c r="F771" s="22">
        <f>IFERROR(+VLOOKUP(D771,Master!B:C,2,0),"")</f>
        <v/>
      </c>
      <c r="G771" s="23" t="n"/>
      <c r="H771" s="23">
        <f>+E771*G771</f>
        <v/>
      </c>
    </row>
    <row r="772">
      <c r="A772" s="8" t="n"/>
      <c r="B772" s="7" t="n"/>
      <c r="C772" s="8" t="n"/>
      <c r="D772" s="21" t="n"/>
      <c r="E772" s="22" t="n"/>
      <c r="F772" s="22">
        <f>IFERROR(+VLOOKUP(D772,Master!B:C,2,0),"")</f>
        <v/>
      </c>
      <c r="G772" s="23" t="n"/>
      <c r="H772" s="23">
        <f>+E772*G772</f>
        <v/>
      </c>
    </row>
    <row r="773">
      <c r="A773" s="8" t="n"/>
      <c r="B773" s="7" t="n"/>
      <c r="C773" s="8" t="n"/>
      <c r="D773" s="21" t="n"/>
      <c r="E773" s="22" t="n"/>
      <c r="F773" s="22">
        <f>IFERROR(+VLOOKUP(D773,Master!B:C,2,0),"")</f>
        <v/>
      </c>
      <c r="G773" s="23" t="n"/>
      <c r="H773" s="23">
        <f>+E773*G773</f>
        <v/>
      </c>
    </row>
    <row r="774">
      <c r="A774" s="8" t="n"/>
      <c r="B774" s="7" t="n"/>
      <c r="C774" s="8" t="n"/>
      <c r="D774" s="21" t="n"/>
      <c r="E774" s="22" t="n"/>
      <c r="F774" s="22">
        <f>IFERROR(+VLOOKUP(D774,Master!B:C,2,0),"")</f>
        <v/>
      </c>
      <c r="G774" s="23" t="n"/>
      <c r="H774" s="23">
        <f>+E774*G774</f>
        <v/>
      </c>
    </row>
    <row r="775">
      <c r="A775" s="8" t="n"/>
      <c r="B775" s="7" t="n"/>
      <c r="C775" s="8" t="n"/>
      <c r="D775" s="21" t="n"/>
      <c r="E775" s="22" t="n"/>
      <c r="F775" s="22">
        <f>IFERROR(+VLOOKUP(D775,Master!B:C,2,0),"")</f>
        <v/>
      </c>
      <c r="G775" s="23" t="n"/>
      <c r="H775" s="23">
        <f>+E775*G775</f>
        <v/>
      </c>
    </row>
    <row r="776">
      <c r="A776" s="8" t="n"/>
      <c r="B776" s="7" t="n"/>
      <c r="C776" s="8" t="n"/>
      <c r="D776" s="21" t="n"/>
      <c r="E776" s="22" t="n"/>
      <c r="F776" s="22">
        <f>IFERROR(+VLOOKUP(D776,Master!B:C,2,0),"")</f>
        <v/>
      </c>
      <c r="G776" s="23" t="n"/>
      <c r="H776" s="23">
        <f>+E776*G776</f>
        <v/>
      </c>
    </row>
    <row r="777">
      <c r="A777" s="8" t="n"/>
      <c r="B777" s="7" t="n"/>
      <c r="C777" s="8" t="n"/>
      <c r="D777" s="21" t="n"/>
      <c r="E777" s="22" t="n"/>
      <c r="F777" s="22">
        <f>IFERROR(+VLOOKUP(D777,Master!B:C,2,0),"")</f>
        <v/>
      </c>
      <c r="G777" s="23" t="n"/>
      <c r="H777" s="23">
        <f>+E777*G777</f>
        <v/>
      </c>
    </row>
    <row r="778">
      <c r="A778" s="8" t="n"/>
      <c r="B778" s="7" t="n"/>
      <c r="C778" s="8" t="n"/>
      <c r="D778" s="21" t="n"/>
      <c r="E778" s="22" t="n"/>
      <c r="F778" s="22">
        <f>IFERROR(+VLOOKUP(D778,Master!B:C,2,0),"")</f>
        <v/>
      </c>
      <c r="G778" s="23" t="n"/>
      <c r="H778" s="23">
        <f>+E778*G778</f>
        <v/>
      </c>
    </row>
    <row r="779">
      <c r="A779" s="8" t="n"/>
      <c r="B779" s="7" t="n"/>
      <c r="C779" s="8" t="n"/>
      <c r="D779" s="21" t="n"/>
      <c r="E779" s="22" t="n"/>
      <c r="F779" s="22">
        <f>IFERROR(+VLOOKUP(D779,Master!B:C,2,0),"")</f>
        <v/>
      </c>
      <c r="G779" s="23" t="n"/>
      <c r="H779" s="23">
        <f>+E779*G779</f>
        <v/>
      </c>
    </row>
    <row r="780">
      <c r="A780" s="8" t="n"/>
      <c r="B780" s="7" t="n"/>
      <c r="C780" s="8" t="n"/>
      <c r="D780" s="21" t="n"/>
      <c r="E780" s="22" t="n"/>
      <c r="F780" s="22">
        <f>IFERROR(+VLOOKUP(D780,Master!B:C,2,0),"")</f>
        <v/>
      </c>
      <c r="G780" s="23" t="n"/>
      <c r="H780" s="23">
        <f>+E780*G780</f>
        <v/>
      </c>
    </row>
    <row r="781">
      <c r="A781" s="8" t="n"/>
      <c r="B781" s="7" t="n"/>
      <c r="C781" s="8" t="n"/>
      <c r="D781" s="21" t="n"/>
      <c r="E781" s="22" t="n"/>
      <c r="F781" s="22">
        <f>IFERROR(+VLOOKUP(D781,Master!B:C,2,0),"")</f>
        <v/>
      </c>
      <c r="G781" s="23" t="n"/>
      <c r="H781" s="23">
        <f>+E781*G781</f>
        <v/>
      </c>
    </row>
    <row r="782">
      <c r="A782" s="8" t="n"/>
      <c r="B782" s="7" t="n"/>
      <c r="C782" s="8" t="n"/>
      <c r="D782" s="21" t="n"/>
      <c r="E782" s="22" t="n"/>
      <c r="F782" s="22">
        <f>IFERROR(+VLOOKUP(D782,Master!B:C,2,0),"")</f>
        <v/>
      </c>
      <c r="G782" s="23" t="n"/>
      <c r="H782" s="23">
        <f>+E782*G782</f>
        <v/>
      </c>
    </row>
    <row r="783">
      <c r="A783" s="8" t="n"/>
      <c r="B783" s="7" t="n"/>
      <c r="C783" s="8" t="n"/>
      <c r="D783" s="21" t="n"/>
      <c r="E783" s="22" t="n"/>
      <c r="F783" s="22">
        <f>IFERROR(+VLOOKUP(D783,Master!B:C,2,0),"")</f>
        <v/>
      </c>
      <c r="G783" s="23" t="n"/>
      <c r="H783" s="23">
        <f>+E783*G783</f>
        <v/>
      </c>
    </row>
    <row r="784">
      <c r="A784" s="8" t="n"/>
      <c r="B784" s="7" t="n"/>
      <c r="C784" s="8" t="n"/>
      <c r="D784" s="21" t="n"/>
      <c r="E784" s="22" t="n"/>
      <c r="F784" s="22">
        <f>IFERROR(+VLOOKUP(D784,Master!B:C,2,0),"")</f>
        <v/>
      </c>
      <c r="G784" s="23" t="n"/>
      <c r="H784" s="23">
        <f>+E784*G784</f>
        <v/>
      </c>
    </row>
    <row r="785">
      <c r="A785" s="8" t="n"/>
      <c r="B785" s="7" t="n"/>
      <c r="C785" s="8" t="n"/>
      <c r="D785" s="21" t="n"/>
      <c r="E785" s="22" t="n"/>
      <c r="F785" s="22">
        <f>IFERROR(+VLOOKUP(D785,Master!B:C,2,0),"")</f>
        <v/>
      </c>
      <c r="G785" s="23" t="n"/>
      <c r="H785" s="23">
        <f>+E785*G785</f>
        <v/>
      </c>
    </row>
    <row r="786">
      <c r="A786" s="8" t="n"/>
      <c r="B786" s="7" t="n"/>
      <c r="C786" s="8" t="n"/>
      <c r="D786" s="21" t="n"/>
      <c r="E786" s="22" t="n"/>
      <c r="F786" s="22">
        <f>IFERROR(+VLOOKUP(D786,Master!B:C,2,0),"")</f>
        <v/>
      </c>
      <c r="G786" s="23" t="n"/>
      <c r="H786" s="23">
        <f>+E786*G786</f>
        <v/>
      </c>
    </row>
    <row r="787">
      <c r="A787" s="8" t="n"/>
      <c r="B787" s="7" t="n"/>
      <c r="C787" s="8" t="n"/>
      <c r="D787" s="21" t="n"/>
      <c r="E787" s="22" t="n"/>
      <c r="F787" s="22">
        <f>IFERROR(+VLOOKUP(D787,Master!B:C,2,0),"")</f>
        <v/>
      </c>
      <c r="G787" s="23" t="n"/>
      <c r="H787" s="23">
        <f>+E787*G787</f>
        <v/>
      </c>
    </row>
    <row r="788">
      <c r="A788" s="8" t="n"/>
      <c r="B788" s="7" t="n"/>
      <c r="C788" s="8" t="n"/>
      <c r="D788" s="21" t="n"/>
      <c r="E788" s="22" t="n"/>
      <c r="F788" s="22">
        <f>IFERROR(+VLOOKUP(D788,Master!B:C,2,0),"")</f>
        <v/>
      </c>
      <c r="G788" s="23" t="n"/>
      <c r="H788" s="23">
        <f>+E788*G788</f>
        <v/>
      </c>
    </row>
    <row r="789">
      <c r="A789" s="8" t="n"/>
      <c r="B789" s="7" t="n"/>
      <c r="C789" s="8" t="n"/>
      <c r="D789" s="21" t="n"/>
      <c r="E789" s="22" t="n"/>
      <c r="F789" s="22">
        <f>IFERROR(+VLOOKUP(D789,Master!B:C,2,0),"")</f>
        <v/>
      </c>
      <c r="G789" s="23" t="n"/>
      <c r="H789" s="23">
        <f>+E789*G789</f>
        <v/>
      </c>
    </row>
    <row r="790">
      <c r="A790" s="8" t="n"/>
      <c r="B790" s="7" t="n"/>
      <c r="C790" s="8" t="n"/>
      <c r="D790" s="21" t="n"/>
      <c r="E790" s="22" t="n"/>
      <c r="F790" s="22">
        <f>IFERROR(+VLOOKUP(D790,Master!B:C,2,0),"")</f>
        <v/>
      </c>
      <c r="G790" s="23" t="n"/>
      <c r="H790" s="23">
        <f>+E790*G790</f>
        <v/>
      </c>
    </row>
    <row r="791">
      <c r="A791" s="8" t="n"/>
      <c r="B791" s="7" t="n"/>
      <c r="C791" s="8" t="n"/>
      <c r="D791" s="21" t="n"/>
      <c r="E791" s="22" t="n"/>
      <c r="F791" s="22">
        <f>IFERROR(+VLOOKUP(D791,Master!B:C,2,0),"")</f>
        <v/>
      </c>
      <c r="G791" s="23" t="n"/>
      <c r="H791" s="23">
        <f>+E791*G791</f>
        <v/>
      </c>
    </row>
    <row r="792">
      <c r="A792" s="8" t="n"/>
      <c r="B792" s="7" t="n"/>
      <c r="C792" s="8" t="n"/>
      <c r="D792" s="21" t="n"/>
      <c r="E792" s="22" t="n"/>
      <c r="F792" s="22">
        <f>IFERROR(+VLOOKUP(D792,Master!B:C,2,0),"")</f>
        <v/>
      </c>
      <c r="G792" s="23" t="n"/>
      <c r="H792" s="23">
        <f>+E792*G792</f>
        <v/>
      </c>
    </row>
    <row r="793">
      <c r="A793" s="8" t="n"/>
      <c r="B793" s="7" t="n"/>
      <c r="C793" s="8" t="n"/>
      <c r="D793" s="21" t="n"/>
      <c r="E793" s="22" t="n"/>
      <c r="F793" s="22">
        <f>IFERROR(+VLOOKUP(D793,Master!B:C,2,0),"")</f>
        <v/>
      </c>
      <c r="G793" s="23" t="n"/>
      <c r="H793" s="23">
        <f>+E793*G793</f>
        <v/>
      </c>
    </row>
    <row r="794">
      <c r="A794" s="8" t="n"/>
      <c r="B794" s="7" t="n"/>
      <c r="C794" s="8" t="n"/>
      <c r="D794" s="21" t="n"/>
      <c r="E794" s="22" t="n"/>
      <c r="F794" s="22">
        <f>IFERROR(+VLOOKUP(D794,Master!B:C,2,0),"")</f>
        <v/>
      </c>
      <c r="G794" s="23" t="n"/>
      <c r="H794" s="23">
        <f>+E794*G794</f>
        <v/>
      </c>
    </row>
    <row r="795">
      <c r="A795" s="8" t="n"/>
      <c r="B795" s="7" t="n"/>
      <c r="C795" s="8" t="n"/>
      <c r="D795" s="21" t="n"/>
      <c r="E795" s="22" t="n"/>
      <c r="F795" s="22">
        <f>IFERROR(+VLOOKUP(D795,Master!B:C,2,0),"")</f>
        <v/>
      </c>
      <c r="G795" s="23" t="n"/>
      <c r="H795" s="23">
        <f>+E795*G795</f>
        <v/>
      </c>
    </row>
    <row r="796">
      <c r="A796" s="8" t="n"/>
      <c r="B796" s="7" t="n"/>
      <c r="C796" s="8" t="n"/>
      <c r="D796" s="21" t="n"/>
      <c r="E796" s="22" t="n"/>
      <c r="F796" s="22">
        <f>IFERROR(+VLOOKUP(D796,Master!B:C,2,0),"")</f>
        <v/>
      </c>
      <c r="G796" s="23" t="n"/>
      <c r="H796" s="23">
        <f>+E796*G796</f>
        <v/>
      </c>
    </row>
    <row r="797">
      <c r="A797" s="8" t="n"/>
      <c r="B797" s="7" t="n"/>
      <c r="C797" s="8" t="n"/>
      <c r="D797" s="21" t="n"/>
      <c r="E797" s="22" t="n"/>
      <c r="F797" s="22">
        <f>IFERROR(+VLOOKUP(D797,Master!B:C,2,0),"")</f>
        <v/>
      </c>
      <c r="G797" s="23" t="n"/>
      <c r="H797" s="23">
        <f>+E797*G797</f>
        <v/>
      </c>
    </row>
    <row r="798">
      <c r="A798" s="8" t="n"/>
      <c r="B798" s="7" t="n"/>
      <c r="C798" s="8" t="n"/>
      <c r="D798" s="21" t="n"/>
      <c r="E798" s="22" t="n"/>
      <c r="F798" s="22">
        <f>IFERROR(+VLOOKUP(D798,Master!B:C,2,0),"")</f>
        <v/>
      </c>
      <c r="G798" s="23" t="n"/>
      <c r="H798" s="23">
        <f>+E798*G798</f>
        <v/>
      </c>
    </row>
    <row r="799">
      <c r="A799" s="8" t="n"/>
      <c r="B799" s="7" t="n"/>
      <c r="C799" s="8" t="n"/>
      <c r="D799" s="21" t="n"/>
      <c r="E799" s="22" t="n"/>
      <c r="F799" s="22">
        <f>IFERROR(+VLOOKUP(D799,Master!B:C,2,0),"")</f>
        <v/>
      </c>
      <c r="G799" s="23" t="n"/>
      <c r="H799" s="23">
        <f>+E799*G799</f>
        <v/>
      </c>
    </row>
    <row r="800">
      <c r="A800" s="8" t="n"/>
      <c r="B800" s="7" t="n"/>
      <c r="C800" s="8" t="n"/>
      <c r="D800" s="21" t="n"/>
      <c r="E800" s="22" t="n"/>
      <c r="F800" s="22">
        <f>IFERROR(+VLOOKUP(D800,Master!B:C,2,0),"")</f>
        <v/>
      </c>
      <c r="G800" s="23" t="n"/>
      <c r="H800" s="23">
        <f>+E800*G800</f>
        <v/>
      </c>
    </row>
    <row r="801">
      <c r="A801" s="8" t="n"/>
      <c r="B801" s="7" t="n"/>
      <c r="C801" s="8" t="n"/>
      <c r="D801" s="21" t="n"/>
      <c r="E801" s="22" t="n"/>
      <c r="F801" s="22">
        <f>IFERROR(+VLOOKUP(D801,Master!B:C,2,0),"")</f>
        <v/>
      </c>
      <c r="G801" s="23" t="n"/>
      <c r="H801" s="23">
        <f>+E801*G801</f>
        <v/>
      </c>
    </row>
    <row r="802">
      <c r="A802" s="8" t="n"/>
      <c r="B802" s="7" t="n"/>
      <c r="C802" s="8" t="n"/>
      <c r="D802" s="21" t="n"/>
      <c r="E802" s="22" t="n"/>
      <c r="F802" s="22">
        <f>IFERROR(+VLOOKUP(D802,Master!B:C,2,0),"")</f>
        <v/>
      </c>
      <c r="G802" s="23" t="n"/>
      <c r="H802" s="23">
        <f>+E802*G802</f>
        <v/>
      </c>
    </row>
    <row r="803">
      <c r="A803" s="8" t="n"/>
      <c r="B803" s="7" t="n"/>
      <c r="C803" s="8" t="n"/>
      <c r="D803" s="21" t="n"/>
      <c r="E803" s="22" t="n"/>
      <c r="F803" s="22">
        <f>IFERROR(+VLOOKUP(D803,Master!B:C,2,0),"")</f>
        <v/>
      </c>
      <c r="G803" s="23" t="n"/>
      <c r="H803" s="23">
        <f>+E803*G803</f>
        <v/>
      </c>
    </row>
    <row r="804">
      <c r="A804" s="8" t="n"/>
      <c r="B804" s="7" t="n"/>
      <c r="C804" s="8" t="n"/>
      <c r="D804" s="21" t="n"/>
      <c r="E804" s="22" t="n"/>
      <c r="F804" s="22">
        <f>IFERROR(+VLOOKUP(D804,Master!B:C,2,0),"")</f>
        <v/>
      </c>
      <c r="G804" s="23" t="n"/>
      <c r="H804" s="23">
        <f>+E804*G804</f>
        <v/>
      </c>
    </row>
    <row r="805">
      <c r="A805" s="8" t="n"/>
      <c r="B805" s="7" t="n"/>
      <c r="C805" s="8" t="n"/>
      <c r="D805" s="21" t="n"/>
      <c r="E805" s="22" t="n"/>
      <c r="F805" s="22">
        <f>IFERROR(+VLOOKUP(D805,Master!B:C,2,0),"")</f>
        <v/>
      </c>
      <c r="G805" s="23" t="n"/>
      <c r="H805" s="23">
        <f>+E805*G805</f>
        <v/>
      </c>
    </row>
    <row r="806">
      <c r="A806" s="8" t="n"/>
      <c r="B806" s="7" t="n"/>
      <c r="C806" s="8" t="n"/>
      <c r="D806" s="21" t="n"/>
      <c r="E806" s="22" t="n"/>
      <c r="F806" s="22">
        <f>IFERROR(+VLOOKUP(D806,Master!B:C,2,0),"")</f>
        <v/>
      </c>
      <c r="G806" s="23" t="n"/>
      <c r="H806" s="23">
        <f>+E806*G806</f>
        <v/>
      </c>
    </row>
    <row r="807">
      <c r="A807" s="8" t="n"/>
      <c r="B807" s="7" t="n"/>
      <c r="C807" s="8" t="n"/>
      <c r="D807" s="21" t="n"/>
      <c r="E807" s="22" t="n"/>
      <c r="F807" s="22">
        <f>IFERROR(+VLOOKUP(D807,Master!B:C,2,0),"")</f>
        <v/>
      </c>
      <c r="G807" s="23" t="n"/>
      <c r="H807" s="23">
        <f>+E807*G807</f>
        <v/>
      </c>
    </row>
    <row r="808">
      <c r="A808" s="8" t="n"/>
      <c r="B808" s="7" t="n"/>
      <c r="C808" s="8" t="n"/>
      <c r="D808" s="21" t="n"/>
      <c r="E808" s="22" t="n"/>
      <c r="F808" s="22">
        <f>IFERROR(+VLOOKUP(D808,Master!B:C,2,0),"")</f>
        <v/>
      </c>
      <c r="G808" s="23" t="n"/>
      <c r="H808" s="23">
        <f>+E808*G808</f>
        <v/>
      </c>
    </row>
    <row r="809">
      <c r="A809" s="8" t="n"/>
      <c r="B809" s="7" t="n"/>
      <c r="C809" s="8" t="n"/>
      <c r="D809" s="21" t="n"/>
      <c r="E809" s="22" t="n"/>
      <c r="F809" s="22">
        <f>IFERROR(+VLOOKUP(D809,Master!B:C,2,0),"")</f>
        <v/>
      </c>
      <c r="G809" s="23" t="n"/>
      <c r="H809" s="23">
        <f>+E809*G809</f>
        <v/>
      </c>
    </row>
    <row r="810">
      <c r="A810" s="8" t="n"/>
      <c r="B810" s="7" t="n"/>
      <c r="C810" s="8" t="n"/>
      <c r="D810" s="21" t="n"/>
      <c r="E810" s="22" t="n"/>
      <c r="F810" s="22">
        <f>IFERROR(+VLOOKUP(D810,Master!B:C,2,0),"")</f>
        <v/>
      </c>
      <c r="G810" s="23" t="n"/>
      <c r="H810" s="23">
        <f>+E810*G810</f>
        <v/>
      </c>
    </row>
    <row r="811">
      <c r="A811" s="8" t="n"/>
      <c r="B811" s="7" t="n"/>
      <c r="C811" s="8" t="n"/>
      <c r="D811" s="21" t="n"/>
      <c r="E811" s="22" t="n"/>
      <c r="F811" s="22">
        <f>IFERROR(+VLOOKUP(D811,Master!B:C,2,0),"")</f>
        <v/>
      </c>
      <c r="G811" s="23" t="n"/>
      <c r="H811" s="23">
        <f>+E811*G811</f>
        <v/>
      </c>
    </row>
    <row r="812">
      <c r="A812" s="8" t="n"/>
      <c r="B812" s="7" t="n"/>
      <c r="C812" s="8" t="n"/>
      <c r="D812" s="21" t="n"/>
      <c r="E812" s="22" t="n"/>
      <c r="F812" s="22">
        <f>IFERROR(+VLOOKUP(D812,Master!B:C,2,0),"")</f>
        <v/>
      </c>
      <c r="G812" s="23" t="n"/>
      <c r="H812" s="23">
        <f>+E812*G812</f>
        <v/>
      </c>
    </row>
    <row r="813">
      <c r="A813" s="8" t="n"/>
      <c r="B813" s="7" t="n"/>
      <c r="C813" s="8" t="n"/>
      <c r="D813" s="21" t="n"/>
      <c r="E813" s="22" t="n"/>
      <c r="F813" s="22">
        <f>IFERROR(+VLOOKUP(D813,Master!B:C,2,0),"")</f>
        <v/>
      </c>
      <c r="G813" s="23" t="n"/>
      <c r="H813" s="23">
        <f>+E813*G813</f>
        <v/>
      </c>
    </row>
    <row r="814">
      <c r="A814" s="8" t="n"/>
      <c r="B814" s="7" t="n"/>
      <c r="C814" s="8" t="n"/>
      <c r="D814" s="21" t="n"/>
      <c r="E814" s="22" t="n"/>
      <c r="F814" s="22">
        <f>IFERROR(+VLOOKUP(D814,Master!B:C,2,0),"")</f>
        <v/>
      </c>
      <c r="G814" s="23" t="n"/>
      <c r="H814" s="23">
        <f>+E814*G814</f>
        <v/>
      </c>
    </row>
    <row r="815">
      <c r="A815" s="8" t="n"/>
      <c r="B815" s="7" t="n"/>
      <c r="C815" s="8" t="n"/>
      <c r="D815" s="21" t="n"/>
      <c r="E815" s="22" t="n"/>
      <c r="F815" s="22">
        <f>IFERROR(+VLOOKUP(D815,Master!B:C,2,0),"")</f>
        <v/>
      </c>
      <c r="G815" s="23" t="n"/>
      <c r="H815" s="23">
        <f>+E815*G815</f>
        <v/>
      </c>
    </row>
    <row r="816">
      <c r="A816" s="8" t="n"/>
      <c r="B816" s="7" t="n"/>
      <c r="C816" s="8" t="n"/>
      <c r="D816" s="21" t="n"/>
      <c r="E816" s="22" t="n"/>
      <c r="F816" s="22">
        <f>IFERROR(+VLOOKUP(D816,Master!B:C,2,0),"")</f>
        <v/>
      </c>
      <c r="G816" s="23" t="n"/>
      <c r="H816" s="23">
        <f>+E816*G816</f>
        <v/>
      </c>
    </row>
    <row r="817">
      <c r="A817" s="8" t="n"/>
      <c r="B817" s="7" t="n"/>
      <c r="C817" s="8" t="n"/>
      <c r="D817" s="21" t="n"/>
      <c r="E817" s="22" t="n"/>
      <c r="F817" s="22">
        <f>IFERROR(+VLOOKUP(D817,Master!B:C,2,0),"")</f>
        <v/>
      </c>
      <c r="G817" s="23" t="n"/>
      <c r="H817" s="23">
        <f>+E817*G817</f>
        <v/>
      </c>
    </row>
    <row r="818">
      <c r="A818" s="8" t="n"/>
      <c r="B818" s="7" t="n"/>
      <c r="C818" s="8" t="n"/>
      <c r="D818" s="21" t="n"/>
      <c r="E818" s="22" t="n"/>
      <c r="F818" s="22">
        <f>IFERROR(+VLOOKUP(D818,Master!B:C,2,0),"")</f>
        <v/>
      </c>
      <c r="G818" s="23" t="n"/>
      <c r="H818" s="23">
        <f>+E818*G818</f>
        <v/>
      </c>
    </row>
    <row r="819">
      <c r="A819" s="8" t="n"/>
      <c r="B819" s="7" t="n"/>
      <c r="C819" s="8" t="n"/>
      <c r="D819" s="21" t="n"/>
      <c r="E819" s="22" t="n"/>
      <c r="F819" s="22">
        <f>IFERROR(+VLOOKUP(D819,Master!B:C,2,0),"")</f>
        <v/>
      </c>
      <c r="G819" s="23" t="n"/>
      <c r="H819" s="23">
        <f>+E819*G819</f>
        <v/>
      </c>
    </row>
    <row r="820">
      <c r="A820" s="8" t="n"/>
      <c r="B820" s="7" t="n"/>
      <c r="C820" s="8" t="n"/>
      <c r="D820" s="21" t="n"/>
      <c r="E820" s="22" t="n"/>
      <c r="F820" s="22">
        <f>IFERROR(+VLOOKUP(D820,Master!B:C,2,0),"")</f>
        <v/>
      </c>
      <c r="G820" s="23" t="n"/>
      <c r="H820" s="23">
        <f>+E820*G820</f>
        <v/>
      </c>
    </row>
    <row r="821">
      <c r="A821" s="8" t="n"/>
      <c r="B821" s="7" t="n"/>
      <c r="C821" s="8" t="n"/>
      <c r="D821" s="21" t="n"/>
      <c r="E821" s="22" t="n"/>
      <c r="F821" s="22">
        <f>IFERROR(+VLOOKUP(D821,Master!B:C,2,0),"")</f>
        <v/>
      </c>
      <c r="G821" s="23" t="n"/>
      <c r="H821" s="23">
        <f>+E821*G821</f>
        <v/>
      </c>
    </row>
    <row r="822">
      <c r="A822" s="8" t="n"/>
      <c r="B822" s="7" t="n"/>
      <c r="C822" s="8" t="n"/>
      <c r="D822" s="21" t="n"/>
      <c r="E822" s="22" t="n"/>
      <c r="F822" s="22">
        <f>IFERROR(+VLOOKUP(D822,Master!B:C,2,0),"")</f>
        <v/>
      </c>
      <c r="G822" s="23" t="n"/>
      <c r="H822" s="23">
        <f>+E822*G822</f>
        <v/>
      </c>
    </row>
    <row r="823">
      <c r="A823" s="8" t="n"/>
      <c r="B823" s="7" t="n"/>
      <c r="C823" s="8" t="n"/>
      <c r="D823" s="21" t="n"/>
      <c r="E823" s="22" t="n"/>
      <c r="F823" s="22">
        <f>IFERROR(+VLOOKUP(D823,Master!B:C,2,0),"")</f>
        <v/>
      </c>
      <c r="G823" s="23" t="n"/>
      <c r="H823" s="23">
        <f>+E823*G823</f>
        <v/>
      </c>
    </row>
    <row r="824">
      <c r="A824" s="8" t="n"/>
      <c r="B824" s="7" t="n"/>
      <c r="C824" s="8" t="n"/>
      <c r="D824" s="21" t="n"/>
      <c r="E824" s="22" t="n"/>
      <c r="F824" s="22">
        <f>IFERROR(+VLOOKUP(D824,Master!B:C,2,0),"")</f>
        <v/>
      </c>
      <c r="G824" s="23" t="n"/>
      <c r="H824" s="23">
        <f>+E824*G824</f>
        <v/>
      </c>
    </row>
    <row r="825">
      <c r="A825" s="8" t="n"/>
      <c r="B825" s="7" t="n"/>
      <c r="C825" s="8" t="n"/>
      <c r="D825" s="21" t="n"/>
      <c r="E825" s="22" t="n"/>
      <c r="F825" s="22">
        <f>IFERROR(+VLOOKUP(D825,Master!B:C,2,0),"")</f>
        <v/>
      </c>
      <c r="G825" s="23" t="n"/>
      <c r="H825" s="23">
        <f>+E825*G825</f>
        <v/>
      </c>
    </row>
    <row r="826">
      <c r="A826" s="8" t="n"/>
      <c r="B826" s="7" t="n"/>
      <c r="C826" s="8" t="n"/>
      <c r="D826" s="21" t="n"/>
      <c r="E826" s="22" t="n"/>
      <c r="F826" s="22">
        <f>IFERROR(+VLOOKUP(D826,Master!B:C,2,0),"")</f>
        <v/>
      </c>
      <c r="G826" s="23" t="n"/>
      <c r="H826" s="23">
        <f>+E826*G826</f>
        <v/>
      </c>
    </row>
    <row r="827">
      <c r="A827" s="8" t="n"/>
      <c r="B827" s="7" t="n"/>
      <c r="C827" s="8" t="n"/>
      <c r="D827" s="21" t="n"/>
      <c r="E827" s="22" t="n"/>
      <c r="F827" s="22">
        <f>IFERROR(+VLOOKUP(D827,Master!B:C,2,0),"")</f>
        <v/>
      </c>
      <c r="G827" s="23" t="n"/>
      <c r="H827" s="23">
        <f>+E827*G827</f>
        <v/>
      </c>
    </row>
    <row r="828">
      <c r="A828" s="8" t="n"/>
      <c r="B828" s="7" t="n"/>
      <c r="C828" s="8" t="n"/>
      <c r="D828" s="21" t="n"/>
      <c r="E828" s="22" t="n"/>
      <c r="F828" s="22">
        <f>IFERROR(+VLOOKUP(D828,Master!B:C,2,0),"")</f>
        <v/>
      </c>
      <c r="G828" s="23" t="n"/>
      <c r="H828" s="23">
        <f>+E828*G828</f>
        <v/>
      </c>
    </row>
    <row r="829">
      <c r="A829" s="8" t="n"/>
      <c r="B829" s="7" t="n"/>
      <c r="C829" s="8" t="n"/>
      <c r="D829" s="21" t="n"/>
      <c r="E829" s="22" t="n"/>
      <c r="F829" s="22">
        <f>IFERROR(+VLOOKUP(D829,Master!B:C,2,0),"")</f>
        <v/>
      </c>
      <c r="G829" s="23" t="n"/>
      <c r="H829" s="23">
        <f>+E829*G829</f>
        <v/>
      </c>
    </row>
    <row r="830">
      <c r="A830" s="8" t="n"/>
      <c r="B830" s="7" t="n"/>
      <c r="C830" s="8" t="n"/>
      <c r="D830" s="21" t="n"/>
      <c r="E830" s="22" t="n"/>
      <c r="F830" s="22">
        <f>IFERROR(+VLOOKUP(D830,Master!B:C,2,0),"")</f>
        <v/>
      </c>
      <c r="G830" s="23" t="n"/>
      <c r="H830" s="23">
        <f>+E830*G830</f>
        <v/>
      </c>
    </row>
    <row r="831">
      <c r="A831" s="8" t="n"/>
      <c r="B831" s="7" t="n"/>
      <c r="C831" s="8" t="n"/>
      <c r="D831" s="21" t="n"/>
      <c r="E831" s="22" t="n"/>
      <c r="F831" s="22">
        <f>IFERROR(+VLOOKUP(D831,Master!B:C,2,0),"")</f>
        <v/>
      </c>
      <c r="G831" s="23" t="n"/>
      <c r="H831" s="23">
        <f>+E831*G831</f>
        <v/>
      </c>
    </row>
    <row r="832">
      <c r="A832" s="8" t="n"/>
      <c r="B832" s="7" t="n"/>
      <c r="C832" s="8" t="n"/>
      <c r="D832" s="21" t="n"/>
      <c r="E832" s="22" t="n"/>
      <c r="F832" s="22">
        <f>IFERROR(+VLOOKUP(D832,Master!B:C,2,0),"")</f>
        <v/>
      </c>
      <c r="G832" s="23" t="n"/>
      <c r="H832" s="23">
        <f>+E832*G832</f>
        <v/>
      </c>
    </row>
    <row r="833">
      <c r="A833" s="8" t="n"/>
      <c r="B833" s="7" t="n"/>
      <c r="C833" s="8" t="n"/>
      <c r="D833" s="21" t="n"/>
      <c r="E833" s="22" t="n"/>
      <c r="F833" s="22">
        <f>IFERROR(+VLOOKUP(D833,Master!B:C,2,0),"")</f>
        <v/>
      </c>
      <c r="G833" s="23" t="n"/>
      <c r="H833" s="23">
        <f>+E833*G833</f>
        <v/>
      </c>
    </row>
    <row r="834">
      <c r="A834" s="8" t="n"/>
      <c r="B834" s="7" t="n"/>
      <c r="C834" s="8" t="n"/>
      <c r="D834" s="21" t="n"/>
      <c r="E834" s="22" t="n"/>
      <c r="F834" s="22">
        <f>IFERROR(+VLOOKUP(D834,Master!B:C,2,0),"")</f>
        <v/>
      </c>
      <c r="G834" s="23" t="n"/>
      <c r="H834" s="23">
        <f>+E834*G834</f>
        <v/>
      </c>
    </row>
    <row r="835">
      <c r="A835" s="8" t="n"/>
      <c r="B835" s="7" t="n"/>
      <c r="C835" s="8" t="n"/>
      <c r="D835" s="21" t="n"/>
      <c r="E835" s="22" t="n"/>
      <c r="F835" s="22">
        <f>IFERROR(+VLOOKUP(D835,Master!B:C,2,0),"")</f>
        <v/>
      </c>
      <c r="G835" s="23" t="n"/>
      <c r="H835" s="23">
        <f>+E835*G835</f>
        <v/>
      </c>
    </row>
    <row r="836">
      <c r="A836" s="8" t="n"/>
      <c r="B836" s="7" t="n"/>
      <c r="C836" s="8" t="n"/>
      <c r="D836" s="21" t="n"/>
      <c r="E836" s="22" t="n"/>
      <c r="F836" s="22">
        <f>IFERROR(+VLOOKUP(D836,Master!B:C,2,0),"")</f>
        <v/>
      </c>
      <c r="G836" s="23" t="n"/>
      <c r="H836" s="23">
        <f>+E836*G836</f>
        <v/>
      </c>
    </row>
    <row r="837">
      <c r="A837" s="8" t="n"/>
      <c r="B837" s="7" t="n"/>
      <c r="C837" s="8" t="n"/>
      <c r="D837" s="21" t="n"/>
      <c r="E837" s="22" t="n"/>
      <c r="F837" s="22">
        <f>IFERROR(+VLOOKUP(D837,Master!B:C,2,0),"")</f>
        <v/>
      </c>
      <c r="G837" s="23" t="n"/>
      <c r="H837" s="23">
        <f>+E837*G837</f>
        <v/>
      </c>
    </row>
    <row r="838">
      <c r="A838" s="8" t="n"/>
      <c r="B838" s="7" t="n"/>
      <c r="C838" s="8" t="n"/>
      <c r="D838" s="21" t="n"/>
      <c r="E838" s="22" t="n"/>
      <c r="F838" s="22">
        <f>IFERROR(+VLOOKUP(D838,Master!B:C,2,0),"")</f>
        <v/>
      </c>
      <c r="G838" s="23" t="n"/>
      <c r="H838" s="23">
        <f>+E838*G838</f>
        <v/>
      </c>
    </row>
    <row r="839">
      <c r="A839" s="8" t="n"/>
      <c r="B839" s="7" t="n"/>
      <c r="C839" s="8" t="n"/>
      <c r="D839" s="21" t="n"/>
      <c r="E839" s="22" t="n"/>
      <c r="F839" s="22">
        <f>IFERROR(+VLOOKUP(D839,Master!B:C,2,0),"")</f>
        <v/>
      </c>
      <c r="G839" s="23" t="n"/>
      <c r="H839" s="23">
        <f>+E839*G839</f>
        <v/>
      </c>
    </row>
    <row r="840">
      <c r="A840" s="8" t="n"/>
      <c r="B840" s="7" t="n"/>
      <c r="C840" s="8" t="n"/>
      <c r="D840" s="21" t="n"/>
      <c r="E840" s="22" t="n"/>
      <c r="F840" s="22">
        <f>IFERROR(+VLOOKUP(D840,Master!B:C,2,0),"")</f>
        <v/>
      </c>
      <c r="G840" s="23" t="n"/>
      <c r="H840" s="23">
        <f>+E840*G840</f>
        <v/>
      </c>
    </row>
    <row r="841">
      <c r="A841" s="8" t="n"/>
      <c r="B841" s="7" t="n"/>
      <c r="C841" s="8" t="n"/>
      <c r="D841" s="21" t="n"/>
      <c r="E841" s="22" t="n"/>
      <c r="F841" s="22">
        <f>IFERROR(+VLOOKUP(D841,Master!B:C,2,0),"")</f>
        <v/>
      </c>
      <c r="G841" s="23" t="n"/>
      <c r="H841" s="23">
        <f>+E841*G841</f>
        <v/>
      </c>
    </row>
    <row r="842">
      <c r="A842" s="8" t="n"/>
      <c r="B842" s="7" t="n"/>
      <c r="C842" s="8" t="n"/>
      <c r="D842" s="21" t="n"/>
      <c r="E842" s="22" t="n"/>
      <c r="F842" s="22">
        <f>IFERROR(+VLOOKUP(D842,Master!B:C,2,0),"")</f>
        <v/>
      </c>
      <c r="G842" s="23" t="n"/>
      <c r="H842" s="23">
        <f>+E842*G842</f>
        <v/>
      </c>
    </row>
    <row r="843">
      <c r="A843" s="8" t="n"/>
      <c r="B843" s="7" t="n"/>
      <c r="C843" s="8" t="n"/>
      <c r="D843" s="21" t="n"/>
      <c r="E843" s="22" t="n"/>
      <c r="F843" s="22">
        <f>IFERROR(+VLOOKUP(D843,Master!B:C,2,0),"")</f>
        <v/>
      </c>
      <c r="G843" s="23" t="n"/>
      <c r="H843" s="23">
        <f>+E843*G843</f>
        <v/>
      </c>
    </row>
    <row r="844">
      <c r="A844" s="8" t="n"/>
      <c r="B844" s="7" t="n"/>
      <c r="C844" s="8" t="n"/>
      <c r="D844" s="21" t="n"/>
      <c r="E844" s="22" t="n"/>
      <c r="F844" s="22">
        <f>IFERROR(+VLOOKUP(D844,Master!B:C,2,0),"")</f>
        <v/>
      </c>
      <c r="G844" s="23" t="n"/>
      <c r="H844" s="23">
        <f>+E844*G844</f>
        <v/>
      </c>
    </row>
    <row r="845">
      <c r="A845" s="8" t="n"/>
      <c r="B845" s="7" t="n"/>
      <c r="C845" s="8" t="n"/>
      <c r="D845" s="21" t="n"/>
      <c r="E845" s="22" t="n"/>
      <c r="F845" s="22">
        <f>IFERROR(+VLOOKUP(D845,Master!B:C,2,0),"")</f>
        <v/>
      </c>
      <c r="G845" s="23" t="n"/>
      <c r="H845" s="23">
        <f>+E845*G845</f>
        <v/>
      </c>
    </row>
    <row r="846">
      <c r="A846" s="8" t="n"/>
      <c r="B846" s="7" t="n"/>
      <c r="C846" s="8" t="n"/>
      <c r="D846" s="21" t="n"/>
      <c r="E846" s="22" t="n"/>
      <c r="F846" s="22">
        <f>IFERROR(+VLOOKUP(D846,Master!B:C,2,0),"")</f>
        <v/>
      </c>
      <c r="G846" s="23" t="n"/>
      <c r="H846" s="23">
        <f>+E846*G846</f>
        <v/>
      </c>
    </row>
    <row r="847">
      <c r="A847" s="8" t="n"/>
      <c r="B847" s="7" t="n"/>
      <c r="C847" s="8" t="n"/>
      <c r="D847" s="21" t="n"/>
      <c r="E847" s="22" t="n"/>
      <c r="F847" s="22">
        <f>IFERROR(+VLOOKUP(D847,Master!B:C,2,0),"")</f>
        <v/>
      </c>
      <c r="G847" s="23" t="n"/>
      <c r="H847" s="23">
        <f>+E847*G847</f>
        <v/>
      </c>
    </row>
    <row r="848">
      <c r="A848" s="8" t="n"/>
      <c r="B848" s="7" t="n"/>
      <c r="C848" s="8" t="n"/>
      <c r="D848" s="21" t="n"/>
      <c r="E848" s="22" t="n"/>
      <c r="F848" s="22">
        <f>IFERROR(+VLOOKUP(D848,Master!B:C,2,0),"")</f>
        <v/>
      </c>
      <c r="G848" s="23" t="n"/>
      <c r="H848" s="23">
        <f>+E848*G848</f>
        <v/>
      </c>
    </row>
    <row r="849">
      <c r="A849" s="8" t="n"/>
      <c r="B849" s="7" t="n"/>
      <c r="C849" s="8" t="n"/>
      <c r="D849" s="21" t="n"/>
      <c r="E849" s="22" t="n"/>
      <c r="F849" s="22">
        <f>IFERROR(+VLOOKUP(D849,Master!B:C,2,0),"")</f>
        <v/>
      </c>
      <c r="G849" s="23" t="n"/>
      <c r="H849" s="23">
        <f>+E849*G849</f>
        <v/>
      </c>
    </row>
    <row r="850">
      <c r="A850" s="8" t="n"/>
      <c r="B850" s="7" t="n"/>
      <c r="C850" s="8" t="n"/>
      <c r="D850" s="21" t="n"/>
      <c r="E850" s="22" t="n"/>
      <c r="F850" s="22">
        <f>IFERROR(+VLOOKUP(D850,Master!B:C,2,0),"")</f>
        <v/>
      </c>
      <c r="G850" s="23" t="n"/>
      <c r="H850" s="23">
        <f>+E850*G850</f>
        <v/>
      </c>
    </row>
    <row r="851">
      <c r="A851" s="8" t="n"/>
      <c r="B851" s="7" t="n"/>
      <c r="C851" s="8" t="n"/>
      <c r="D851" s="21" t="n"/>
      <c r="E851" s="22" t="n"/>
      <c r="F851" s="22">
        <f>IFERROR(+VLOOKUP(D851,Master!B:C,2,0),"")</f>
        <v/>
      </c>
      <c r="G851" s="23" t="n"/>
      <c r="H851" s="23">
        <f>+E851*G851</f>
        <v/>
      </c>
    </row>
    <row r="852">
      <c r="A852" s="8" t="n"/>
      <c r="B852" s="7" t="n"/>
      <c r="C852" s="8" t="n"/>
      <c r="D852" s="21" t="n"/>
      <c r="E852" s="22" t="n"/>
      <c r="F852" s="22">
        <f>IFERROR(+VLOOKUP(D852,Master!B:C,2,0),"")</f>
        <v/>
      </c>
      <c r="G852" s="23" t="n"/>
      <c r="H852" s="23">
        <f>+E852*G852</f>
        <v/>
      </c>
    </row>
    <row r="853">
      <c r="A853" s="8" t="n"/>
      <c r="B853" s="7" t="n"/>
      <c r="C853" s="8" t="n"/>
      <c r="D853" s="21" t="n"/>
      <c r="E853" s="22" t="n"/>
      <c r="F853" s="22">
        <f>IFERROR(+VLOOKUP(D853,Master!B:C,2,0),"")</f>
        <v/>
      </c>
      <c r="G853" s="23" t="n"/>
      <c r="H853" s="23">
        <f>+E853*G853</f>
        <v/>
      </c>
    </row>
    <row r="854">
      <c r="A854" s="8" t="n"/>
      <c r="B854" s="7" t="n"/>
      <c r="C854" s="8" t="n"/>
      <c r="D854" s="21" t="n"/>
      <c r="E854" s="22" t="n"/>
      <c r="F854" s="22">
        <f>IFERROR(+VLOOKUP(D854,Master!B:C,2,0),"")</f>
        <v/>
      </c>
      <c r="G854" s="23" t="n"/>
      <c r="H854" s="23">
        <f>+E854*G854</f>
        <v/>
      </c>
    </row>
    <row r="855">
      <c r="A855" s="8" t="n"/>
      <c r="B855" s="7" t="n"/>
      <c r="C855" s="8" t="n"/>
      <c r="D855" s="21" t="n"/>
      <c r="E855" s="22" t="n"/>
      <c r="F855" s="22">
        <f>IFERROR(+VLOOKUP(D855,Master!B:C,2,0),"")</f>
        <v/>
      </c>
      <c r="G855" s="23" t="n"/>
      <c r="H855" s="23">
        <f>+E855*G855</f>
        <v/>
      </c>
    </row>
    <row r="856">
      <c r="A856" s="8" t="n"/>
      <c r="B856" s="7" t="n"/>
      <c r="C856" s="8" t="n"/>
      <c r="D856" s="21" t="n"/>
      <c r="E856" s="22" t="n"/>
      <c r="F856" s="22">
        <f>IFERROR(+VLOOKUP(D856,Master!B:C,2,0),"")</f>
        <v/>
      </c>
      <c r="G856" s="23" t="n"/>
      <c r="H856" s="23">
        <f>+E856*G856</f>
        <v/>
      </c>
    </row>
    <row r="857">
      <c r="A857" s="8" t="n"/>
      <c r="B857" s="7" t="n"/>
      <c r="C857" s="8" t="n"/>
      <c r="D857" s="21" t="n"/>
      <c r="E857" s="22" t="n"/>
      <c r="F857" s="22">
        <f>IFERROR(+VLOOKUP(D857,Master!B:C,2,0),"")</f>
        <v/>
      </c>
      <c r="G857" s="23" t="n"/>
      <c r="H857" s="23">
        <f>+E857*G857</f>
        <v/>
      </c>
    </row>
    <row r="858">
      <c r="A858" s="8" t="n"/>
      <c r="B858" s="7" t="n"/>
      <c r="C858" s="8" t="n"/>
      <c r="D858" s="21" t="n"/>
      <c r="E858" s="22" t="n"/>
      <c r="F858" s="22">
        <f>IFERROR(+VLOOKUP(D858,Master!B:C,2,0),"")</f>
        <v/>
      </c>
      <c r="G858" s="23" t="n"/>
      <c r="H858" s="23">
        <f>+E858*G858</f>
        <v/>
      </c>
    </row>
    <row r="859">
      <c r="A859" s="8" t="n"/>
      <c r="B859" s="7" t="n"/>
      <c r="C859" s="8" t="n"/>
      <c r="D859" s="21" t="n"/>
      <c r="E859" s="22" t="n"/>
      <c r="F859" s="22">
        <f>IFERROR(+VLOOKUP(D859,Master!B:C,2,0),"")</f>
        <v/>
      </c>
      <c r="G859" s="23" t="n"/>
      <c r="H859" s="23">
        <f>+E859*G859</f>
        <v/>
      </c>
    </row>
    <row r="860">
      <c r="A860" s="8" t="n"/>
      <c r="B860" s="7" t="n"/>
      <c r="C860" s="8" t="n"/>
      <c r="D860" s="21" t="n"/>
      <c r="E860" s="22" t="n"/>
      <c r="F860" s="22">
        <f>IFERROR(+VLOOKUP(D860,Master!B:C,2,0),"")</f>
        <v/>
      </c>
      <c r="G860" s="23" t="n"/>
      <c r="H860" s="23">
        <f>+E860*G860</f>
        <v/>
      </c>
    </row>
    <row r="861">
      <c r="A861" s="8" t="n"/>
      <c r="B861" s="7" t="n"/>
      <c r="C861" s="8" t="n"/>
      <c r="D861" s="21" t="n"/>
      <c r="E861" s="22" t="n"/>
      <c r="F861" s="22">
        <f>IFERROR(+VLOOKUP(D861,Master!B:C,2,0),"")</f>
        <v/>
      </c>
      <c r="G861" s="23" t="n"/>
      <c r="H861" s="23">
        <f>+E861*G861</f>
        <v/>
      </c>
    </row>
    <row r="862">
      <c r="A862" s="8" t="n"/>
      <c r="B862" s="7" t="n"/>
      <c r="C862" s="8" t="n"/>
      <c r="D862" s="21" t="n"/>
      <c r="E862" s="22" t="n"/>
      <c r="F862" s="22">
        <f>IFERROR(+VLOOKUP(D862,Master!B:C,2,0),"")</f>
        <v/>
      </c>
      <c r="G862" s="23" t="n"/>
      <c r="H862" s="23">
        <f>+E862*G862</f>
        <v/>
      </c>
    </row>
    <row r="863">
      <c r="A863" s="8" t="n"/>
      <c r="B863" s="7" t="n"/>
      <c r="C863" s="8" t="n"/>
      <c r="D863" s="21" t="n"/>
      <c r="E863" s="22" t="n"/>
      <c r="F863" s="22">
        <f>IFERROR(+VLOOKUP(D863,Master!B:C,2,0),"")</f>
        <v/>
      </c>
      <c r="G863" s="23" t="n"/>
      <c r="H863" s="23">
        <f>+E863*G863</f>
        <v/>
      </c>
    </row>
    <row r="864">
      <c r="A864" s="8" t="n"/>
      <c r="B864" s="7" t="n"/>
      <c r="C864" s="8" t="n"/>
      <c r="D864" s="21" t="n"/>
      <c r="E864" s="22" t="n"/>
      <c r="F864" s="22">
        <f>IFERROR(+VLOOKUP(D864,Master!B:C,2,0),"")</f>
        <v/>
      </c>
      <c r="G864" s="23" t="n"/>
      <c r="H864" s="23">
        <f>+E864*G864</f>
        <v/>
      </c>
    </row>
    <row r="865">
      <c r="A865" s="8" t="n"/>
      <c r="B865" s="7" t="n"/>
      <c r="C865" s="8" t="n"/>
      <c r="D865" s="21" t="n"/>
      <c r="E865" s="22" t="n"/>
      <c r="F865" s="22">
        <f>IFERROR(+VLOOKUP(D865,Master!B:C,2,0),"")</f>
        <v/>
      </c>
      <c r="G865" s="23" t="n"/>
      <c r="H865" s="23">
        <f>+E865*G865</f>
        <v/>
      </c>
    </row>
    <row r="866">
      <c r="A866" s="8" t="n"/>
      <c r="B866" s="7" t="n"/>
      <c r="C866" s="8" t="n"/>
      <c r="D866" s="21" t="n"/>
      <c r="E866" s="22" t="n"/>
      <c r="F866" s="22">
        <f>IFERROR(+VLOOKUP(D866,Master!B:C,2,0),"")</f>
        <v/>
      </c>
      <c r="G866" s="23" t="n"/>
      <c r="H866" s="23">
        <f>+E866*G866</f>
        <v/>
      </c>
    </row>
    <row r="867">
      <c r="A867" s="8" t="n"/>
      <c r="B867" s="7" t="n"/>
      <c r="C867" s="8" t="n"/>
      <c r="D867" s="21" t="n"/>
      <c r="E867" s="22" t="n"/>
      <c r="F867" s="22">
        <f>IFERROR(+VLOOKUP(D867,Master!B:C,2,0),"")</f>
        <v/>
      </c>
      <c r="G867" s="23" t="n"/>
      <c r="H867" s="23">
        <f>+E867*G867</f>
        <v/>
      </c>
    </row>
    <row r="868">
      <c r="A868" s="8" t="n"/>
      <c r="B868" s="7" t="n"/>
      <c r="C868" s="8" t="n"/>
      <c r="D868" s="21" t="n"/>
      <c r="E868" s="22" t="n"/>
      <c r="F868" s="22">
        <f>IFERROR(+VLOOKUP(D868,Master!B:C,2,0),"")</f>
        <v/>
      </c>
      <c r="G868" s="23" t="n"/>
      <c r="H868" s="23">
        <f>+E868*G868</f>
        <v/>
      </c>
    </row>
    <row r="869">
      <c r="A869" s="8" t="n"/>
      <c r="B869" s="7" t="n"/>
      <c r="C869" s="8" t="n"/>
      <c r="D869" s="21" t="n"/>
      <c r="E869" s="22" t="n"/>
      <c r="F869" s="22">
        <f>IFERROR(+VLOOKUP(D869,Master!B:C,2,0),"")</f>
        <v/>
      </c>
      <c r="G869" s="23" t="n"/>
      <c r="H869" s="23">
        <f>+E869*G869</f>
        <v/>
      </c>
    </row>
    <row r="870">
      <c r="A870" s="8" t="n"/>
      <c r="B870" s="7" t="n"/>
      <c r="C870" s="8" t="n"/>
      <c r="D870" s="21" t="n"/>
      <c r="E870" s="22" t="n"/>
      <c r="F870" s="22">
        <f>IFERROR(+VLOOKUP(D870,Master!B:C,2,0),"")</f>
        <v/>
      </c>
      <c r="G870" s="23" t="n"/>
      <c r="H870" s="23">
        <f>+E870*G870</f>
        <v/>
      </c>
    </row>
    <row r="871">
      <c r="A871" s="8" t="n"/>
      <c r="B871" s="7" t="n"/>
      <c r="C871" s="8" t="n"/>
      <c r="D871" s="21" t="n"/>
      <c r="E871" s="22" t="n"/>
      <c r="F871" s="22">
        <f>IFERROR(+VLOOKUP(D871,Master!B:C,2,0),"")</f>
        <v/>
      </c>
      <c r="G871" s="23" t="n"/>
      <c r="H871" s="23">
        <f>+E871*G871</f>
        <v/>
      </c>
    </row>
    <row r="872">
      <c r="A872" s="8" t="n"/>
      <c r="B872" s="7" t="n"/>
      <c r="C872" s="8" t="n"/>
      <c r="D872" s="21" t="n"/>
      <c r="E872" s="22" t="n"/>
      <c r="F872" s="22">
        <f>IFERROR(+VLOOKUP(D872,Master!B:C,2,0),"")</f>
        <v/>
      </c>
      <c r="G872" s="23" t="n"/>
      <c r="H872" s="23">
        <f>+E872*G872</f>
        <v/>
      </c>
    </row>
    <row r="873">
      <c r="A873" s="8" t="n"/>
      <c r="B873" s="7" t="n"/>
      <c r="C873" s="8" t="n"/>
      <c r="D873" s="21" t="n"/>
      <c r="E873" s="22" t="n"/>
      <c r="F873" s="22">
        <f>IFERROR(+VLOOKUP(D873,Master!B:C,2,0),"")</f>
        <v/>
      </c>
      <c r="G873" s="23" t="n"/>
      <c r="H873" s="23">
        <f>+E873*G873</f>
        <v/>
      </c>
    </row>
    <row r="874">
      <c r="A874" s="8" t="n"/>
      <c r="B874" s="7" t="n"/>
      <c r="C874" s="8" t="n"/>
      <c r="D874" s="21" t="n"/>
      <c r="E874" s="22" t="n"/>
      <c r="F874" s="22">
        <f>IFERROR(+VLOOKUP(D874,Master!B:C,2,0),"")</f>
        <v/>
      </c>
      <c r="G874" s="23" t="n"/>
      <c r="H874" s="23">
        <f>+E874*G874</f>
        <v/>
      </c>
    </row>
    <row r="875">
      <c r="A875" s="8" t="n"/>
      <c r="B875" s="7" t="n"/>
      <c r="C875" s="8" t="n"/>
      <c r="D875" s="21" t="n"/>
      <c r="E875" s="22" t="n"/>
      <c r="F875" s="22">
        <f>IFERROR(+VLOOKUP(D875,Master!B:C,2,0),"")</f>
        <v/>
      </c>
      <c r="G875" s="23" t="n"/>
      <c r="H875" s="23">
        <f>+E875*G875</f>
        <v/>
      </c>
    </row>
    <row r="876">
      <c r="A876" s="8" t="n"/>
      <c r="B876" s="7" t="n"/>
      <c r="C876" s="8" t="n"/>
      <c r="D876" s="21" t="n"/>
      <c r="E876" s="22" t="n"/>
      <c r="F876" s="22">
        <f>IFERROR(+VLOOKUP(D876,Master!B:C,2,0),"")</f>
        <v/>
      </c>
      <c r="G876" s="23" t="n"/>
      <c r="H876" s="23">
        <f>+E876*G876</f>
        <v/>
      </c>
    </row>
    <row r="877">
      <c r="A877" s="8" t="n"/>
      <c r="B877" s="7" t="n"/>
      <c r="C877" s="8" t="n"/>
      <c r="D877" s="21" t="n"/>
      <c r="E877" s="22" t="n"/>
      <c r="F877" s="22">
        <f>IFERROR(+VLOOKUP(D877,Master!B:C,2,0),"")</f>
        <v/>
      </c>
      <c r="G877" s="23" t="n"/>
      <c r="H877" s="23">
        <f>+E877*G877</f>
        <v/>
      </c>
    </row>
    <row r="878">
      <c r="A878" s="8" t="n"/>
      <c r="B878" s="7" t="n"/>
      <c r="C878" s="8" t="n"/>
      <c r="D878" s="21" t="n"/>
      <c r="E878" s="22" t="n"/>
      <c r="F878" s="22">
        <f>IFERROR(+VLOOKUP(D878,Master!B:C,2,0),"")</f>
        <v/>
      </c>
      <c r="G878" s="23" t="n"/>
      <c r="H878" s="23">
        <f>+E878*G878</f>
        <v/>
      </c>
    </row>
    <row r="879">
      <c r="A879" s="8" t="n"/>
      <c r="B879" s="7" t="n"/>
      <c r="C879" s="8" t="n"/>
      <c r="D879" s="21" t="n"/>
      <c r="E879" s="22" t="n"/>
      <c r="F879" s="22">
        <f>IFERROR(+VLOOKUP(D879,Master!B:C,2,0),"")</f>
        <v/>
      </c>
      <c r="G879" s="23" t="n"/>
      <c r="H879" s="23">
        <f>+E879*G879</f>
        <v/>
      </c>
    </row>
    <row r="880">
      <c r="A880" s="8" t="n"/>
      <c r="B880" s="7" t="n"/>
      <c r="C880" s="8" t="n"/>
      <c r="D880" s="21" t="n"/>
      <c r="E880" s="22" t="n"/>
      <c r="F880" s="22">
        <f>IFERROR(+VLOOKUP(D880,Master!B:C,2,0),"")</f>
        <v/>
      </c>
      <c r="G880" s="23" t="n"/>
      <c r="H880" s="23">
        <f>+E880*G880</f>
        <v/>
      </c>
    </row>
    <row r="881">
      <c r="A881" s="8" t="n"/>
      <c r="B881" s="7" t="n"/>
      <c r="C881" s="8" t="n"/>
      <c r="D881" s="21" t="n"/>
      <c r="E881" s="22" t="n"/>
      <c r="F881" s="22">
        <f>IFERROR(+VLOOKUP(D881,Master!B:C,2,0),"")</f>
        <v/>
      </c>
      <c r="G881" s="23" t="n"/>
      <c r="H881" s="23">
        <f>+E881*G881</f>
        <v/>
      </c>
    </row>
    <row r="882">
      <c r="A882" s="8" t="n"/>
      <c r="B882" s="7" t="n"/>
      <c r="C882" s="8" t="n"/>
      <c r="D882" s="21" t="n"/>
      <c r="E882" s="22" t="n"/>
      <c r="F882" s="22">
        <f>IFERROR(+VLOOKUP(D882,Master!B:C,2,0),"")</f>
        <v/>
      </c>
      <c r="G882" s="23" t="n"/>
      <c r="H882" s="23">
        <f>+E882*G882</f>
        <v/>
      </c>
    </row>
    <row r="883">
      <c r="A883" s="8" t="n"/>
      <c r="B883" s="7" t="n"/>
      <c r="C883" s="8" t="n"/>
      <c r="D883" s="21" t="n"/>
      <c r="E883" s="22" t="n"/>
      <c r="F883" s="22">
        <f>IFERROR(+VLOOKUP(D883,Master!B:C,2,0),"")</f>
        <v/>
      </c>
      <c r="G883" s="23" t="n"/>
      <c r="H883" s="23">
        <f>+E883*G883</f>
        <v/>
      </c>
    </row>
    <row r="884">
      <c r="A884" s="8" t="n"/>
      <c r="B884" s="7" t="n"/>
      <c r="C884" s="8" t="n"/>
      <c r="D884" s="21" t="n"/>
      <c r="E884" s="22" t="n"/>
      <c r="F884" s="22">
        <f>IFERROR(+VLOOKUP(D884,Master!B:C,2,0),"")</f>
        <v/>
      </c>
      <c r="G884" s="23" t="n"/>
      <c r="H884" s="23">
        <f>+E884*G884</f>
        <v/>
      </c>
    </row>
    <row r="885">
      <c r="A885" s="8" t="n"/>
      <c r="B885" s="7" t="n"/>
      <c r="C885" s="8" t="n"/>
      <c r="D885" s="21" t="n"/>
      <c r="E885" s="22" t="n"/>
      <c r="F885" s="22">
        <f>IFERROR(+VLOOKUP(D885,Master!B:C,2,0),"")</f>
        <v/>
      </c>
      <c r="G885" s="23" t="n"/>
      <c r="H885" s="23">
        <f>+E885*G885</f>
        <v/>
      </c>
    </row>
    <row r="886">
      <c r="A886" s="8" t="n"/>
      <c r="B886" s="7" t="n"/>
      <c r="C886" s="8" t="n"/>
      <c r="D886" s="21" t="n"/>
      <c r="E886" s="22" t="n"/>
      <c r="F886" s="22">
        <f>IFERROR(+VLOOKUP(D886,Master!B:C,2,0),"")</f>
        <v/>
      </c>
      <c r="G886" s="23" t="n"/>
      <c r="H886" s="23">
        <f>+E886*G886</f>
        <v/>
      </c>
    </row>
    <row r="887">
      <c r="A887" s="8" t="n"/>
      <c r="B887" s="7" t="n"/>
      <c r="C887" s="8" t="n"/>
      <c r="D887" s="21" t="n"/>
      <c r="E887" s="22" t="n"/>
      <c r="F887" s="22">
        <f>IFERROR(+VLOOKUP(D887,Master!B:C,2,0),"")</f>
        <v/>
      </c>
      <c r="G887" s="23" t="n"/>
      <c r="H887" s="23">
        <f>+E887*G887</f>
        <v/>
      </c>
    </row>
    <row r="888">
      <c r="A888" s="8" t="n"/>
      <c r="B888" s="7" t="n"/>
      <c r="C888" s="8" t="n"/>
      <c r="D888" s="21" t="n"/>
      <c r="E888" s="22" t="n"/>
      <c r="F888" s="22">
        <f>IFERROR(+VLOOKUP(D888,Master!B:C,2,0),"")</f>
        <v/>
      </c>
      <c r="G888" s="23" t="n"/>
      <c r="H888" s="23">
        <f>+E888*G888</f>
        <v/>
      </c>
    </row>
    <row r="889">
      <c r="A889" s="8" t="n"/>
      <c r="B889" s="7" t="n"/>
      <c r="C889" s="8" t="n"/>
      <c r="D889" s="21" t="n"/>
      <c r="E889" s="22" t="n"/>
      <c r="F889" s="22">
        <f>IFERROR(+VLOOKUP(D889,Master!B:C,2,0),"")</f>
        <v/>
      </c>
      <c r="G889" s="23" t="n"/>
      <c r="H889" s="23">
        <f>+E889*G889</f>
        <v/>
      </c>
    </row>
    <row r="890">
      <c r="A890" s="8" t="n"/>
      <c r="B890" s="7" t="n"/>
      <c r="C890" s="8" t="n"/>
      <c r="D890" s="21" t="n"/>
      <c r="E890" s="22" t="n"/>
      <c r="F890" s="22">
        <f>IFERROR(+VLOOKUP(D890,Master!B:C,2,0),"")</f>
        <v/>
      </c>
      <c r="G890" s="23" t="n"/>
      <c r="H890" s="23">
        <f>+E890*G890</f>
        <v/>
      </c>
    </row>
    <row r="891">
      <c r="A891" s="8" t="n"/>
      <c r="B891" s="7" t="n"/>
      <c r="C891" s="8" t="n"/>
      <c r="D891" s="21" t="n"/>
      <c r="E891" s="22" t="n"/>
      <c r="F891" s="22">
        <f>IFERROR(+VLOOKUP(D891,Master!B:C,2,0),"")</f>
        <v/>
      </c>
      <c r="G891" s="23" t="n"/>
      <c r="H891" s="23">
        <f>+E891*G891</f>
        <v/>
      </c>
    </row>
    <row r="892">
      <c r="A892" s="8" t="n"/>
      <c r="B892" s="7" t="n"/>
      <c r="C892" s="8" t="n"/>
      <c r="D892" s="21" t="n"/>
      <c r="E892" s="22" t="n"/>
      <c r="F892" s="22">
        <f>IFERROR(+VLOOKUP(D892,Master!B:C,2,0),"")</f>
        <v/>
      </c>
      <c r="G892" s="23" t="n"/>
      <c r="H892" s="23">
        <f>+E892*G892</f>
        <v/>
      </c>
    </row>
    <row r="893">
      <c r="A893" s="8" t="n"/>
      <c r="B893" s="7" t="n"/>
      <c r="C893" s="8" t="n"/>
      <c r="D893" s="21" t="n"/>
      <c r="E893" s="22" t="n"/>
      <c r="F893" s="22">
        <f>IFERROR(+VLOOKUP(D893,Master!B:C,2,0),"")</f>
        <v/>
      </c>
      <c r="G893" s="23" t="n"/>
      <c r="H893" s="23">
        <f>+E893*G893</f>
        <v/>
      </c>
    </row>
    <row r="894">
      <c r="A894" s="8" t="n"/>
      <c r="B894" s="7" t="n"/>
      <c r="C894" s="8" t="n"/>
      <c r="D894" s="21" t="n"/>
      <c r="E894" s="22" t="n"/>
      <c r="F894" s="22">
        <f>IFERROR(+VLOOKUP(D894,Master!B:C,2,0),"")</f>
        <v/>
      </c>
      <c r="G894" s="23" t="n"/>
      <c r="H894" s="23">
        <f>+E894*G894</f>
        <v/>
      </c>
    </row>
    <row r="895">
      <c r="A895" s="8" t="n"/>
      <c r="B895" s="7" t="n"/>
      <c r="C895" s="8" t="n"/>
      <c r="D895" s="21" t="n"/>
      <c r="E895" s="22" t="n"/>
      <c r="F895" s="22">
        <f>IFERROR(+VLOOKUP(D895,Master!B:C,2,0),"")</f>
        <v/>
      </c>
      <c r="G895" s="23" t="n"/>
      <c r="H895" s="23">
        <f>+E895*G895</f>
        <v/>
      </c>
    </row>
    <row r="896">
      <c r="A896" s="8" t="n"/>
      <c r="B896" s="7" t="n"/>
      <c r="C896" s="8" t="n"/>
      <c r="D896" s="21" t="n"/>
      <c r="E896" s="22" t="n"/>
      <c r="F896" s="22">
        <f>IFERROR(+VLOOKUP(D896,Master!B:C,2,0),"")</f>
        <v/>
      </c>
      <c r="G896" s="23" t="n"/>
      <c r="H896" s="23">
        <f>+E896*G896</f>
        <v/>
      </c>
    </row>
    <row r="897">
      <c r="A897" s="8" t="n"/>
      <c r="B897" s="7" t="n"/>
      <c r="C897" s="8" t="n"/>
      <c r="D897" s="21" t="n"/>
      <c r="E897" s="22" t="n"/>
      <c r="F897" s="22">
        <f>IFERROR(+VLOOKUP(D897,Master!B:C,2,0),"")</f>
        <v/>
      </c>
      <c r="G897" s="23" t="n"/>
      <c r="H897" s="23">
        <f>+E897*G897</f>
        <v/>
      </c>
    </row>
    <row r="898">
      <c r="A898" s="8" t="n"/>
      <c r="B898" s="7" t="n"/>
      <c r="C898" s="8" t="n"/>
      <c r="D898" s="21" t="n"/>
      <c r="E898" s="22" t="n"/>
      <c r="F898" s="22">
        <f>IFERROR(+VLOOKUP(D898,Master!B:C,2,0),"")</f>
        <v/>
      </c>
      <c r="G898" s="23" t="n"/>
      <c r="H898" s="23">
        <f>+E898*G898</f>
        <v/>
      </c>
    </row>
    <row r="899">
      <c r="A899" s="8" t="n"/>
      <c r="B899" s="7" t="n"/>
      <c r="C899" s="8" t="n"/>
      <c r="D899" s="21" t="n"/>
      <c r="E899" s="22" t="n"/>
      <c r="F899" s="22">
        <f>IFERROR(+VLOOKUP(D899,Master!B:C,2,0),"")</f>
        <v/>
      </c>
      <c r="G899" s="23" t="n"/>
      <c r="H899" s="23">
        <f>+E899*G899</f>
        <v/>
      </c>
    </row>
    <row r="900">
      <c r="A900" s="8" t="n"/>
      <c r="B900" s="7" t="n"/>
      <c r="C900" s="8" t="n"/>
      <c r="D900" s="21" t="n"/>
      <c r="E900" s="22" t="n"/>
      <c r="F900" s="22">
        <f>IFERROR(+VLOOKUP(D900,Master!B:C,2,0),"")</f>
        <v/>
      </c>
      <c r="G900" s="23" t="n"/>
      <c r="H900" s="23">
        <f>+E900*G900</f>
        <v/>
      </c>
    </row>
    <row r="901">
      <c r="A901" s="8" t="n"/>
      <c r="B901" s="7" t="n"/>
      <c r="C901" s="8" t="n"/>
      <c r="D901" s="21" t="n"/>
      <c r="E901" s="22" t="n"/>
      <c r="F901" s="22">
        <f>IFERROR(+VLOOKUP(D901,Master!B:C,2,0),"")</f>
        <v/>
      </c>
      <c r="G901" s="23" t="n"/>
      <c r="H901" s="23">
        <f>+E901*G901</f>
        <v/>
      </c>
    </row>
    <row r="902">
      <c r="A902" s="8" t="n"/>
      <c r="B902" s="7" t="n"/>
      <c r="C902" s="8" t="n"/>
      <c r="D902" s="21" t="n"/>
      <c r="E902" s="22" t="n"/>
      <c r="F902" s="22">
        <f>IFERROR(+VLOOKUP(D902,Master!B:C,2,0),"")</f>
        <v/>
      </c>
      <c r="G902" s="23" t="n"/>
      <c r="H902" s="23">
        <f>+E902*G902</f>
        <v/>
      </c>
    </row>
    <row r="903">
      <c r="A903" s="8" t="n"/>
      <c r="B903" s="7" t="n"/>
      <c r="C903" s="8" t="n"/>
      <c r="D903" s="21" t="n"/>
      <c r="E903" s="22" t="n"/>
      <c r="F903" s="22">
        <f>IFERROR(+VLOOKUP(D903,Master!B:C,2,0),"")</f>
        <v/>
      </c>
      <c r="G903" s="23" t="n"/>
      <c r="H903" s="23">
        <f>+E903*G903</f>
        <v/>
      </c>
    </row>
    <row r="904">
      <c r="A904" s="8" t="n"/>
      <c r="B904" s="7" t="n"/>
      <c r="C904" s="8" t="n"/>
      <c r="D904" s="21" t="n"/>
      <c r="E904" s="22" t="n"/>
      <c r="F904" s="22">
        <f>IFERROR(+VLOOKUP(D904,Master!B:C,2,0),"")</f>
        <v/>
      </c>
      <c r="G904" s="23" t="n"/>
      <c r="H904" s="23">
        <f>+E904*G904</f>
        <v/>
      </c>
    </row>
    <row r="905">
      <c r="A905" s="8" t="n"/>
      <c r="B905" s="7" t="n"/>
      <c r="C905" s="8" t="n"/>
      <c r="D905" s="21" t="n"/>
      <c r="E905" s="22" t="n"/>
      <c r="F905" s="22">
        <f>IFERROR(+VLOOKUP(D905,Master!B:C,2,0),"")</f>
        <v/>
      </c>
      <c r="G905" s="23" t="n"/>
      <c r="H905" s="23">
        <f>+E905*G905</f>
        <v/>
      </c>
    </row>
    <row r="906">
      <c r="A906" s="8" t="n"/>
      <c r="B906" s="7" t="n"/>
      <c r="C906" s="8" t="n"/>
      <c r="D906" s="21" t="n"/>
      <c r="E906" s="22" t="n"/>
      <c r="F906" s="22">
        <f>IFERROR(+VLOOKUP(D906,Master!B:C,2,0),"")</f>
        <v/>
      </c>
      <c r="G906" s="23" t="n"/>
      <c r="H906" s="23">
        <f>+E906*G906</f>
        <v/>
      </c>
    </row>
    <row r="907">
      <c r="A907" s="8" t="n"/>
      <c r="B907" s="7" t="n"/>
      <c r="C907" s="8" t="n"/>
      <c r="D907" s="21" t="n"/>
      <c r="E907" s="22" t="n"/>
      <c r="F907" s="22">
        <f>IFERROR(+VLOOKUP(D907,Master!B:C,2,0),"")</f>
        <v/>
      </c>
      <c r="G907" s="23" t="n"/>
      <c r="H907" s="23">
        <f>+E907*G907</f>
        <v/>
      </c>
    </row>
    <row r="908">
      <c r="A908" s="8" t="n"/>
      <c r="B908" s="7" t="n"/>
      <c r="C908" s="8" t="n"/>
      <c r="D908" s="21" t="n"/>
      <c r="E908" s="22" t="n"/>
      <c r="F908" s="22">
        <f>IFERROR(+VLOOKUP(D908,Master!B:C,2,0),"")</f>
        <v/>
      </c>
      <c r="G908" s="23" t="n"/>
      <c r="H908" s="23">
        <f>+E908*G908</f>
        <v/>
      </c>
    </row>
    <row r="909">
      <c r="A909" s="8" t="n"/>
      <c r="B909" s="7" t="n"/>
      <c r="C909" s="8" t="n"/>
      <c r="D909" s="21" t="n"/>
      <c r="E909" s="22" t="n"/>
      <c r="F909" s="22">
        <f>IFERROR(+VLOOKUP(D909,Master!B:C,2,0),"")</f>
        <v/>
      </c>
      <c r="G909" s="23" t="n"/>
      <c r="H909" s="23">
        <f>+E909*G909</f>
        <v/>
      </c>
    </row>
    <row r="910">
      <c r="A910" s="8" t="n"/>
      <c r="B910" s="7" t="n"/>
      <c r="C910" s="8" t="n"/>
      <c r="D910" s="21" t="n"/>
      <c r="E910" s="22" t="n"/>
      <c r="F910" s="22">
        <f>IFERROR(+VLOOKUP(D910,Master!B:C,2,0),"")</f>
        <v/>
      </c>
      <c r="G910" s="23" t="n"/>
      <c r="H910" s="23">
        <f>+E910*G910</f>
        <v/>
      </c>
    </row>
    <row r="911">
      <c r="A911" s="8" t="n"/>
      <c r="B911" s="7" t="n"/>
      <c r="C911" s="8" t="n"/>
      <c r="D911" s="21" t="n"/>
      <c r="E911" s="22" t="n"/>
      <c r="F911" s="22">
        <f>IFERROR(+VLOOKUP(D911,Master!B:C,2,0),"")</f>
        <v/>
      </c>
      <c r="G911" s="23" t="n"/>
      <c r="H911" s="23">
        <f>+E911*G911</f>
        <v/>
      </c>
    </row>
    <row r="912">
      <c r="A912" s="8" t="n"/>
      <c r="B912" s="7" t="n"/>
      <c r="C912" s="8" t="n"/>
      <c r="D912" s="21" t="n"/>
      <c r="E912" s="22" t="n"/>
      <c r="F912" s="22">
        <f>IFERROR(+VLOOKUP(D912,Master!B:C,2,0),"")</f>
        <v/>
      </c>
      <c r="G912" s="23" t="n"/>
      <c r="H912" s="23">
        <f>+E912*G912</f>
        <v/>
      </c>
    </row>
    <row r="913">
      <c r="A913" s="8" t="n"/>
      <c r="B913" s="7" t="n"/>
      <c r="C913" s="8" t="n"/>
      <c r="D913" s="21" t="n"/>
      <c r="E913" s="22" t="n"/>
      <c r="F913" s="22">
        <f>IFERROR(+VLOOKUP(D913,Master!B:C,2,0),"")</f>
        <v/>
      </c>
      <c r="G913" s="23" t="n"/>
      <c r="H913" s="23">
        <f>+E913*G913</f>
        <v/>
      </c>
    </row>
    <row r="914">
      <c r="A914" s="8" t="n"/>
      <c r="B914" s="7" t="n"/>
      <c r="C914" s="8" t="n"/>
      <c r="D914" s="21" t="n"/>
      <c r="E914" s="22" t="n"/>
      <c r="F914" s="22">
        <f>IFERROR(+VLOOKUP(D914,Master!B:C,2,0),"")</f>
        <v/>
      </c>
      <c r="G914" s="23" t="n"/>
      <c r="H914" s="23">
        <f>+E914*G914</f>
        <v/>
      </c>
    </row>
    <row r="915">
      <c r="A915" s="8" t="n"/>
      <c r="B915" s="7" t="n"/>
      <c r="C915" s="8" t="n"/>
      <c r="D915" s="21" t="n"/>
      <c r="E915" s="22" t="n"/>
      <c r="F915" s="22">
        <f>IFERROR(+VLOOKUP(D915,Master!B:C,2,0),"")</f>
        <v/>
      </c>
      <c r="G915" s="23" t="n"/>
      <c r="H915" s="23">
        <f>+E915*G915</f>
        <v/>
      </c>
    </row>
    <row r="916">
      <c r="A916" s="8" t="n"/>
      <c r="B916" s="7" t="n"/>
      <c r="C916" s="8" t="n"/>
      <c r="D916" s="21" t="n"/>
      <c r="E916" s="22" t="n"/>
      <c r="F916" s="22">
        <f>IFERROR(+VLOOKUP(D916,Master!B:C,2,0),"")</f>
        <v/>
      </c>
      <c r="G916" s="23" t="n"/>
      <c r="H916" s="23">
        <f>+E916*G916</f>
        <v/>
      </c>
    </row>
    <row r="917">
      <c r="A917" s="8" t="n"/>
      <c r="B917" s="7" t="n"/>
      <c r="C917" s="8" t="n"/>
      <c r="D917" s="21" t="n"/>
      <c r="E917" s="22" t="n"/>
      <c r="F917" s="22">
        <f>IFERROR(+VLOOKUP(D917,Master!B:C,2,0),"")</f>
        <v/>
      </c>
      <c r="G917" s="23" t="n"/>
      <c r="H917" s="23">
        <f>+E917*G917</f>
        <v/>
      </c>
    </row>
    <row r="918">
      <c r="A918" s="8" t="n"/>
      <c r="B918" s="7" t="n"/>
      <c r="C918" s="8" t="n"/>
      <c r="D918" s="21" t="n"/>
      <c r="E918" s="22" t="n"/>
      <c r="F918" s="22">
        <f>IFERROR(+VLOOKUP(D918,Master!B:C,2,0),"")</f>
        <v/>
      </c>
      <c r="G918" s="23" t="n"/>
      <c r="H918" s="23">
        <f>+E918*G918</f>
        <v/>
      </c>
    </row>
    <row r="919">
      <c r="A919" s="8" t="n"/>
      <c r="B919" s="7" t="n"/>
      <c r="C919" s="8" t="n"/>
      <c r="D919" s="21" t="n"/>
      <c r="E919" s="22" t="n"/>
      <c r="F919" s="22">
        <f>IFERROR(+VLOOKUP(D919,Master!B:C,2,0),"")</f>
        <v/>
      </c>
      <c r="G919" s="23" t="n"/>
      <c r="H919" s="23">
        <f>+E919*G919</f>
        <v/>
      </c>
    </row>
    <row r="920">
      <c r="A920" s="8" t="n"/>
      <c r="B920" s="7" t="n"/>
      <c r="C920" s="8" t="n"/>
      <c r="D920" s="21" t="n"/>
      <c r="E920" s="22" t="n"/>
      <c r="F920" s="22">
        <f>IFERROR(+VLOOKUP(D920,Master!B:C,2,0),"")</f>
        <v/>
      </c>
      <c r="G920" s="23" t="n"/>
      <c r="H920" s="23">
        <f>+E920*G920</f>
        <v/>
      </c>
    </row>
    <row r="921">
      <c r="A921" s="8" t="n"/>
      <c r="B921" s="7" t="n"/>
      <c r="C921" s="8" t="n"/>
      <c r="D921" s="21" t="n"/>
      <c r="E921" s="22" t="n"/>
      <c r="F921" s="22">
        <f>IFERROR(+VLOOKUP(D921,Master!B:C,2,0),"")</f>
        <v/>
      </c>
      <c r="G921" s="23" t="n"/>
      <c r="H921" s="23">
        <f>+E921*G921</f>
        <v/>
      </c>
    </row>
    <row r="922">
      <c r="A922" s="8" t="n"/>
      <c r="B922" s="7" t="n"/>
      <c r="C922" s="8" t="n"/>
      <c r="D922" s="21" t="n"/>
      <c r="E922" s="22" t="n"/>
      <c r="F922" s="22">
        <f>IFERROR(+VLOOKUP(D922,Master!B:C,2,0),"")</f>
        <v/>
      </c>
      <c r="G922" s="23" t="n"/>
      <c r="H922" s="23">
        <f>+E922*G922</f>
        <v/>
      </c>
    </row>
    <row r="923">
      <c r="A923" s="8" t="n"/>
      <c r="B923" s="7" t="n"/>
      <c r="C923" s="8" t="n"/>
      <c r="D923" s="21" t="n"/>
      <c r="E923" s="22" t="n"/>
      <c r="F923" s="22">
        <f>IFERROR(+VLOOKUP(D923,Master!B:C,2,0),"")</f>
        <v/>
      </c>
      <c r="G923" s="23" t="n"/>
      <c r="H923" s="23">
        <f>+E923*G923</f>
        <v/>
      </c>
    </row>
    <row r="924">
      <c r="A924" s="8" t="n"/>
      <c r="B924" s="7" t="n"/>
      <c r="C924" s="8" t="n"/>
      <c r="D924" s="21" t="n"/>
      <c r="E924" s="22" t="n"/>
      <c r="F924" s="22">
        <f>IFERROR(+VLOOKUP(D924,Master!B:C,2,0),"")</f>
        <v/>
      </c>
      <c r="G924" s="23" t="n"/>
      <c r="H924" s="23">
        <f>+E924*G924</f>
        <v/>
      </c>
    </row>
    <row r="925">
      <c r="A925" s="8" t="n"/>
      <c r="B925" s="7" t="n"/>
      <c r="C925" s="8" t="n"/>
      <c r="D925" s="21" t="n"/>
      <c r="E925" s="22" t="n"/>
      <c r="F925" s="22">
        <f>IFERROR(+VLOOKUP(D925,Master!B:C,2,0),"")</f>
        <v/>
      </c>
      <c r="G925" s="23" t="n"/>
      <c r="H925" s="23">
        <f>+E925*G925</f>
        <v/>
      </c>
    </row>
    <row r="926">
      <c r="A926" s="8" t="n"/>
      <c r="B926" s="7" t="n"/>
      <c r="C926" s="8" t="n"/>
      <c r="D926" s="21" t="n"/>
      <c r="E926" s="22" t="n"/>
      <c r="F926" s="22">
        <f>IFERROR(+VLOOKUP(D926,Master!B:C,2,0),"")</f>
        <v/>
      </c>
      <c r="G926" s="23" t="n"/>
      <c r="H926" s="23">
        <f>+E926*G926</f>
        <v/>
      </c>
    </row>
    <row r="927">
      <c r="A927" s="8" t="n"/>
      <c r="B927" s="7" t="n"/>
      <c r="C927" s="8" t="n"/>
      <c r="D927" s="21" t="n"/>
      <c r="E927" s="22" t="n"/>
      <c r="F927" s="22">
        <f>IFERROR(+VLOOKUP(D927,Master!B:C,2,0),"")</f>
        <v/>
      </c>
      <c r="G927" s="23" t="n"/>
      <c r="H927" s="23">
        <f>+E927*G927</f>
        <v/>
      </c>
    </row>
    <row r="928">
      <c r="A928" s="8" t="n"/>
      <c r="B928" s="7" t="n"/>
      <c r="C928" s="8" t="n"/>
      <c r="D928" s="21" t="n"/>
      <c r="E928" s="22" t="n"/>
      <c r="F928" s="22">
        <f>IFERROR(+VLOOKUP(D928,Master!B:C,2,0),"")</f>
        <v/>
      </c>
      <c r="G928" s="23" t="n"/>
      <c r="H928" s="23">
        <f>+E928*G928</f>
        <v/>
      </c>
    </row>
    <row r="929">
      <c r="A929" s="8" t="n"/>
      <c r="B929" s="7" t="n"/>
      <c r="C929" s="8" t="n"/>
      <c r="D929" s="21" t="n"/>
      <c r="E929" s="22" t="n"/>
      <c r="F929" s="22">
        <f>IFERROR(+VLOOKUP(D929,Master!B:C,2,0),"")</f>
        <v/>
      </c>
      <c r="G929" s="23" t="n"/>
      <c r="H929" s="23">
        <f>+E929*G929</f>
        <v/>
      </c>
    </row>
    <row r="930">
      <c r="A930" s="8" t="n"/>
      <c r="B930" s="7" t="n"/>
      <c r="C930" s="8" t="n"/>
      <c r="D930" s="21" t="n"/>
      <c r="E930" s="22" t="n"/>
      <c r="F930" s="22">
        <f>IFERROR(+VLOOKUP(D930,Master!B:C,2,0),"")</f>
        <v/>
      </c>
      <c r="G930" s="23" t="n"/>
      <c r="H930" s="23">
        <f>+E930*G930</f>
        <v/>
      </c>
    </row>
    <row r="931">
      <c r="A931" s="8" t="n"/>
      <c r="B931" s="7" t="n"/>
      <c r="C931" s="8" t="n"/>
      <c r="D931" s="21" t="n"/>
      <c r="E931" s="22" t="n"/>
      <c r="F931" s="22">
        <f>IFERROR(+VLOOKUP(D931,Master!B:C,2,0),"")</f>
        <v/>
      </c>
      <c r="G931" s="23" t="n"/>
      <c r="H931" s="23">
        <f>+E931*G931</f>
        <v/>
      </c>
    </row>
    <row r="932">
      <c r="A932" s="8" t="n"/>
      <c r="B932" s="7" t="n"/>
      <c r="C932" s="8" t="n"/>
      <c r="D932" s="21" t="n"/>
      <c r="E932" s="22" t="n"/>
      <c r="F932" s="22">
        <f>IFERROR(+VLOOKUP(D932,Master!B:C,2,0),"")</f>
        <v/>
      </c>
      <c r="G932" s="23" t="n"/>
      <c r="H932" s="23">
        <f>+E932*G932</f>
        <v/>
      </c>
    </row>
    <row r="933">
      <c r="A933" s="8" t="n"/>
      <c r="B933" s="7" t="n"/>
      <c r="C933" s="8" t="n"/>
      <c r="D933" s="21" t="n"/>
      <c r="E933" s="22" t="n"/>
      <c r="F933" s="22">
        <f>IFERROR(+VLOOKUP(D933,Master!B:C,2,0),"")</f>
        <v/>
      </c>
      <c r="G933" s="23" t="n"/>
      <c r="H933" s="23">
        <f>+E933*G933</f>
        <v/>
      </c>
    </row>
    <row r="934">
      <c r="A934" s="8" t="n"/>
      <c r="B934" s="7" t="n"/>
      <c r="C934" s="8" t="n"/>
      <c r="D934" s="21" t="n"/>
      <c r="E934" s="22" t="n"/>
      <c r="F934" s="22">
        <f>IFERROR(+VLOOKUP(D934,Master!B:C,2,0),"")</f>
        <v/>
      </c>
      <c r="G934" s="23" t="n"/>
      <c r="H934" s="23">
        <f>+E934*G934</f>
        <v/>
      </c>
    </row>
    <row r="935">
      <c r="A935" s="8" t="n"/>
      <c r="B935" s="7" t="n"/>
      <c r="C935" s="8" t="n"/>
      <c r="D935" s="21" t="n"/>
      <c r="E935" s="22" t="n"/>
      <c r="F935" s="22">
        <f>IFERROR(+VLOOKUP(D935,Master!B:C,2,0),"")</f>
        <v/>
      </c>
      <c r="G935" s="23" t="n"/>
      <c r="H935" s="23">
        <f>+E935*G935</f>
        <v/>
      </c>
    </row>
    <row r="936">
      <c r="A936" s="8" t="n"/>
      <c r="B936" s="7" t="n"/>
      <c r="C936" s="8" t="n"/>
      <c r="D936" s="21" t="n"/>
      <c r="E936" s="22" t="n"/>
      <c r="F936" s="22">
        <f>IFERROR(+VLOOKUP(D936,Master!B:C,2,0),"")</f>
        <v/>
      </c>
      <c r="G936" s="23" t="n"/>
      <c r="H936" s="23">
        <f>+E936*G936</f>
        <v/>
      </c>
    </row>
    <row r="937">
      <c r="A937" s="8" t="n"/>
      <c r="B937" s="7" t="n"/>
      <c r="C937" s="8" t="n"/>
      <c r="D937" s="21" t="n"/>
      <c r="E937" s="22" t="n"/>
      <c r="F937" s="22">
        <f>IFERROR(+VLOOKUP(D937,Master!B:C,2,0),"")</f>
        <v/>
      </c>
      <c r="G937" s="23" t="n"/>
      <c r="H937" s="23">
        <f>+E937*G937</f>
        <v/>
      </c>
    </row>
    <row r="938">
      <c r="A938" s="8" t="n"/>
      <c r="B938" s="7" t="n"/>
      <c r="C938" s="8" t="n"/>
      <c r="D938" s="21" t="n"/>
      <c r="E938" s="22" t="n"/>
      <c r="F938" s="22">
        <f>IFERROR(+VLOOKUP(D938,Master!B:C,2,0),"")</f>
        <v/>
      </c>
      <c r="G938" s="23" t="n"/>
      <c r="H938" s="23">
        <f>+E938*G938</f>
        <v/>
      </c>
    </row>
    <row r="939">
      <c r="A939" s="8" t="n"/>
      <c r="B939" s="7" t="n"/>
      <c r="C939" s="8" t="n"/>
      <c r="D939" s="21" t="n"/>
      <c r="E939" s="22" t="n"/>
      <c r="F939" s="22">
        <f>IFERROR(+VLOOKUP(D939,Master!B:C,2,0),"")</f>
        <v/>
      </c>
      <c r="G939" s="23" t="n"/>
      <c r="H939" s="23">
        <f>+E939*G939</f>
        <v/>
      </c>
    </row>
    <row r="940">
      <c r="A940" s="8" t="n"/>
      <c r="B940" s="7" t="n"/>
      <c r="C940" s="8" t="n"/>
      <c r="D940" s="21" t="n"/>
      <c r="E940" s="22" t="n"/>
      <c r="F940" s="22">
        <f>IFERROR(+VLOOKUP(D940,Master!B:C,2,0),"")</f>
        <v/>
      </c>
      <c r="G940" s="23" t="n"/>
      <c r="H940" s="23">
        <f>+E940*G940</f>
        <v/>
      </c>
    </row>
    <row r="941">
      <c r="A941" s="8" t="n"/>
      <c r="B941" s="7" t="n"/>
      <c r="C941" s="8" t="n"/>
      <c r="D941" s="21" t="n"/>
      <c r="E941" s="22" t="n"/>
      <c r="F941" s="22">
        <f>IFERROR(+VLOOKUP(D941,Master!B:C,2,0),"")</f>
        <v/>
      </c>
      <c r="G941" s="23" t="n"/>
      <c r="H941" s="23">
        <f>+E941*G941</f>
        <v/>
      </c>
    </row>
    <row r="942">
      <c r="A942" s="8" t="n"/>
      <c r="B942" s="7" t="n"/>
      <c r="C942" s="8" t="n"/>
      <c r="D942" s="21" t="n"/>
      <c r="E942" s="22" t="n"/>
      <c r="F942" s="22">
        <f>IFERROR(+VLOOKUP(D942,Master!B:C,2,0),"")</f>
        <v/>
      </c>
      <c r="G942" s="23" t="n"/>
      <c r="H942" s="23">
        <f>+E942*G942</f>
        <v/>
      </c>
    </row>
    <row r="943">
      <c r="A943" s="8" t="n"/>
      <c r="B943" s="7" t="n"/>
      <c r="C943" s="8" t="n"/>
      <c r="D943" s="21" t="n"/>
      <c r="E943" s="22" t="n"/>
      <c r="F943" s="22">
        <f>IFERROR(+VLOOKUP(D943,Master!B:C,2,0),"")</f>
        <v/>
      </c>
      <c r="G943" s="23" t="n"/>
      <c r="H943" s="23">
        <f>+E943*G943</f>
        <v/>
      </c>
    </row>
    <row r="944">
      <c r="A944" s="8" t="n"/>
      <c r="B944" s="7" t="n"/>
      <c r="C944" s="8" t="n"/>
      <c r="D944" s="21" t="n"/>
      <c r="E944" s="22" t="n"/>
      <c r="F944" s="22">
        <f>IFERROR(+VLOOKUP(D944,Master!B:C,2,0),"")</f>
        <v/>
      </c>
      <c r="G944" s="23" t="n"/>
      <c r="H944" s="23">
        <f>+E944*G944</f>
        <v/>
      </c>
    </row>
    <row r="945">
      <c r="A945" s="8" t="n"/>
      <c r="B945" s="7" t="n"/>
      <c r="C945" s="8" t="n"/>
      <c r="D945" s="21" t="n"/>
      <c r="E945" s="22" t="n"/>
      <c r="F945" s="22">
        <f>IFERROR(+VLOOKUP(D945,Master!B:C,2,0),"")</f>
        <v/>
      </c>
      <c r="G945" s="23" t="n"/>
      <c r="H945" s="23">
        <f>+E945*G945</f>
        <v/>
      </c>
    </row>
    <row r="946">
      <c r="A946" s="8" t="n"/>
      <c r="B946" s="7" t="n"/>
      <c r="C946" s="8" t="n"/>
      <c r="D946" s="21" t="n"/>
      <c r="E946" s="22" t="n"/>
      <c r="F946" s="22">
        <f>IFERROR(+VLOOKUP(D946,Master!B:C,2,0),"")</f>
        <v/>
      </c>
      <c r="G946" s="23" t="n"/>
      <c r="H946" s="23">
        <f>+E946*G946</f>
        <v/>
      </c>
    </row>
    <row r="947">
      <c r="A947" s="8" t="n"/>
      <c r="B947" s="7" t="n"/>
      <c r="C947" s="8" t="n"/>
      <c r="D947" s="21" t="n"/>
      <c r="E947" s="22" t="n"/>
      <c r="F947" s="22">
        <f>IFERROR(+VLOOKUP(D947,Master!B:C,2,0),"")</f>
        <v/>
      </c>
      <c r="G947" s="23" t="n"/>
      <c r="H947" s="23">
        <f>+E947*G947</f>
        <v/>
      </c>
    </row>
    <row r="948">
      <c r="A948" s="8" t="n"/>
      <c r="B948" s="7" t="n"/>
      <c r="C948" s="8" t="n"/>
      <c r="D948" s="21" t="n"/>
      <c r="E948" s="22" t="n"/>
      <c r="F948" s="22">
        <f>IFERROR(+VLOOKUP(D948,Master!B:C,2,0),"")</f>
        <v/>
      </c>
      <c r="G948" s="23" t="n"/>
      <c r="H948" s="23">
        <f>+E948*G948</f>
        <v/>
      </c>
    </row>
    <row r="949">
      <c r="A949" s="8" t="n"/>
      <c r="B949" s="7" t="n"/>
      <c r="C949" s="8" t="n"/>
      <c r="D949" s="21" t="n"/>
      <c r="E949" s="22" t="n"/>
      <c r="F949" s="22">
        <f>IFERROR(+VLOOKUP(D949,Master!B:C,2,0),"")</f>
        <v/>
      </c>
      <c r="G949" s="23" t="n"/>
      <c r="H949" s="23">
        <f>+E949*G949</f>
        <v/>
      </c>
    </row>
    <row r="950">
      <c r="A950" s="8" t="n"/>
      <c r="B950" s="7" t="n"/>
      <c r="C950" s="8" t="n"/>
      <c r="D950" s="21" t="n"/>
      <c r="E950" s="22" t="n"/>
      <c r="F950" s="22">
        <f>IFERROR(+VLOOKUP(D950,Master!B:C,2,0),"")</f>
        <v/>
      </c>
      <c r="G950" s="23" t="n"/>
      <c r="H950" s="23">
        <f>+E950*G950</f>
        <v/>
      </c>
    </row>
    <row r="951">
      <c r="A951" s="8" t="n"/>
      <c r="B951" s="7" t="n"/>
      <c r="C951" s="8" t="n"/>
      <c r="D951" s="21" t="n"/>
      <c r="E951" s="22" t="n"/>
      <c r="F951" s="22">
        <f>IFERROR(+VLOOKUP(D951,Master!B:C,2,0),"")</f>
        <v/>
      </c>
      <c r="G951" s="23" t="n"/>
      <c r="H951" s="23">
        <f>+E951*G951</f>
        <v/>
      </c>
    </row>
    <row r="952">
      <c r="A952" s="8" t="n"/>
      <c r="B952" s="7" t="n"/>
      <c r="C952" s="8" t="n"/>
      <c r="D952" s="21" t="n"/>
      <c r="E952" s="22" t="n"/>
      <c r="F952" s="22">
        <f>IFERROR(+VLOOKUP(D952,Master!B:C,2,0),"")</f>
        <v/>
      </c>
      <c r="G952" s="23" t="n"/>
      <c r="H952" s="23">
        <f>+E952*G952</f>
        <v/>
      </c>
    </row>
    <row r="953">
      <c r="A953" s="8" t="n"/>
      <c r="B953" s="7" t="n"/>
      <c r="C953" s="8" t="n"/>
      <c r="D953" s="21" t="n"/>
      <c r="E953" s="22" t="n"/>
      <c r="F953" s="22">
        <f>IFERROR(+VLOOKUP(D953,Master!B:C,2,0),"")</f>
        <v/>
      </c>
      <c r="G953" s="23" t="n"/>
      <c r="H953" s="23">
        <f>+E953*G953</f>
        <v/>
      </c>
    </row>
    <row r="954">
      <c r="A954" s="8" t="n"/>
      <c r="B954" s="7" t="n"/>
      <c r="C954" s="8" t="n"/>
      <c r="D954" s="21" t="n"/>
      <c r="E954" s="22" t="n"/>
      <c r="F954" s="22">
        <f>IFERROR(+VLOOKUP(D954,Master!B:C,2,0),"")</f>
        <v/>
      </c>
      <c r="G954" s="23" t="n"/>
      <c r="H954" s="23">
        <f>+E954*G954</f>
        <v/>
      </c>
    </row>
    <row r="955">
      <c r="A955" s="8" t="n"/>
      <c r="B955" s="7" t="n"/>
      <c r="C955" s="8" t="n"/>
      <c r="D955" s="21" t="n"/>
      <c r="E955" s="22" t="n"/>
      <c r="F955" s="22">
        <f>IFERROR(+VLOOKUP(D955,Master!B:C,2,0),"")</f>
        <v/>
      </c>
      <c r="G955" s="23" t="n"/>
      <c r="H955" s="23">
        <f>+E955*G955</f>
        <v/>
      </c>
    </row>
    <row r="956">
      <c r="A956" s="8" t="n"/>
      <c r="B956" s="7" t="n"/>
      <c r="C956" s="8" t="n"/>
      <c r="D956" s="21" t="n"/>
      <c r="E956" s="22" t="n"/>
      <c r="F956" s="22">
        <f>IFERROR(+VLOOKUP(D956,Master!B:C,2,0),"")</f>
        <v/>
      </c>
      <c r="G956" s="23" t="n"/>
      <c r="H956" s="23">
        <f>+E956*G956</f>
        <v/>
      </c>
    </row>
    <row r="957">
      <c r="A957" s="8" t="n"/>
      <c r="B957" s="7" t="n"/>
      <c r="C957" s="8" t="n"/>
      <c r="D957" s="21" t="n"/>
      <c r="E957" s="22" t="n"/>
      <c r="F957" s="22">
        <f>IFERROR(+VLOOKUP(D957,Master!B:C,2,0),"")</f>
        <v/>
      </c>
      <c r="G957" s="23" t="n"/>
      <c r="H957" s="23">
        <f>+E957*G957</f>
        <v/>
      </c>
    </row>
    <row r="958">
      <c r="A958" s="8" t="n"/>
      <c r="B958" s="7" t="n"/>
      <c r="C958" s="8" t="n"/>
      <c r="D958" s="21" t="n"/>
      <c r="E958" s="22" t="n"/>
      <c r="F958" s="22">
        <f>IFERROR(+VLOOKUP(D958,Master!B:C,2,0),"")</f>
        <v/>
      </c>
      <c r="G958" s="23" t="n"/>
      <c r="H958" s="23">
        <f>+E958*G958</f>
        <v/>
      </c>
    </row>
    <row r="959">
      <c r="A959" s="8" t="n"/>
      <c r="B959" s="7" t="n"/>
      <c r="C959" s="8" t="n"/>
      <c r="D959" s="21" t="n"/>
      <c r="E959" s="22" t="n"/>
      <c r="F959" s="22">
        <f>IFERROR(+VLOOKUP(D959,Master!B:C,2,0),"")</f>
        <v/>
      </c>
      <c r="G959" s="23" t="n"/>
      <c r="H959" s="23">
        <f>+E959*G959</f>
        <v/>
      </c>
    </row>
    <row r="960">
      <c r="A960" s="8" t="n"/>
      <c r="B960" s="7" t="n"/>
      <c r="C960" s="8" t="n"/>
      <c r="D960" s="21" t="n"/>
      <c r="E960" s="22" t="n"/>
      <c r="F960" s="22">
        <f>IFERROR(+VLOOKUP(D960,Master!B:C,2,0),"")</f>
        <v/>
      </c>
      <c r="G960" s="23" t="n"/>
      <c r="H960" s="23">
        <f>+E960*G960</f>
        <v/>
      </c>
    </row>
    <row r="961">
      <c r="A961" s="8" t="n"/>
      <c r="B961" s="7" t="n"/>
      <c r="C961" s="8" t="n"/>
      <c r="D961" s="21" t="n"/>
      <c r="E961" s="22" t="n"/>
      <c r="F961" s="22">
        <f>IFERROR(+VLOOKUP(D961,Master!B:C,2,0),"")</f>
        <v/>
      </c>
      <c r="G961" s="23" t="n"/>
      <c r="H961" s="23">
        <f>+E961*G961</f>
        <v/>
      </c>
    </row>
    <row r="962">
      <c r="A962" s="8" t="n"/>
      <c r="B962" s="7" t="n"/>
      <c r="C962" s="8" t="n"/>
      <c r="D962" s="21" t="n"/>
      <c r="E962" s="22" t="n"/>
      <c r="F962" s="22">
        <f>IFERROR(+VLOOKUP(D962,Master!B:C,2,0),"")</f>
        <v/>
      </c>
      <c r="G962" s="23" t="n"/>
      <c r="H962" s="23">
        <f>+E962*G962</f>
        <v/>
      </c>
    </row>
    <row r="963">
      <c r="A963" s="8" t="n"/>
      <c r="B963" s="7" t="n"/>
      <c r="C963" s="8" t="n"/>
      <c r="D963" s="21" t="n"/>
      <c r="E963" s="22" t="n"/>
      <c r="F963" s="22">
        <f>IFERROR(+VLOOKUP(D963,Master!B:C,2,0),"")</f>
        <v/>
      </c>
      <c r="G963" s="23" t="n"/>
      <c r="H963" s="23">
        <f>+E963*G963</f>
        <v/>
      </c>
    </row>
    <row r="964">
      <c r="A964" s="8" t="n"/>
      <c r="B964" s="7" t="n"/>
      <c r="C964" s="8" t="n"/>
      <c r="D964" s="21" t="n"/>
      <c r="E964" s="22" t="n"/>
      <c r="F964" s="22">
        <f>IFERROR(+VLOOKUP(D964,Master!B:C,2,0),"")</f>
        <v/>
      </c>
      <c r="G964" s="23" t="n"/>
      <c r="H964" s="23">
        <f>+E964*G964</f>
        <v/>
      </c>
    </row>
    <row r="965">
      <c r="A965" s="8" t="n"/>
      <c r="B965" s="7" t="n"/>
      <c r="C965" s="8" t="n"/>
      <c r="D965" s="21" t="n"/>
      <c r="E965" s="22" t="n"/>
      <c r="F965" s="22">
        <f>IFERROR(+VLOOKUP(D965,Master!B:C,2,0),"")</f>
        <v/>
      </c>
      <c r="G965" s="23" t="n"/>
      <c r="H965" s="23">
        <f>+E965*G965</f>
        <v/>
      </c>
    </row>
    <row r="966">
      <c r="A966" s="8" t="n"/>
      <c r="B966" s="7" t="n"/>
      <c r="C966" s="8" t="n"/>
      <c r="D966" s="21" t="n"/>
      <c r="E966" s="22" t="n"/>
      <c r="F966" s="22">
        <f>IFERROR(+VLOOKUP(D966,Master!B:C,2,0),"")</f>
        <v/>
      </c>
      <c r="G966" s="23" t="n"/>
      <c r="H966" s="23">
        <f>+E966*G966</f>
        <v/>
      </c>
    </row>
    <row r="967">
      <c r="A967" s="8" t="n"/>
      <c r="B967" s="7" t="n"/>
      <c r="C967" s="8" t="n"/>
      <c r="D967" s="21" t="n"/>
      <c r="E967" s="22" t="n"/>
      <c r="F967" s="22">
        <f>IFERROR(+VLOOKUP(D967,Master!B:C,2,0),"")</f>
        <v/>
      </c>
      <c r="G967" s="23" t="n"/>
      <c r="H967" s="23">
        <f>+E967*G967</f>
        <v/>
      </c>
    </row>
    <row r="968">
      <c r="A968" s="8" t="n"/>
      <c r="B968" s="7" t="n"/>
      <c r="C968" s="8" t="n"/>
      <c r="D968" s="21" t="n"/>
      <c r="E968" s="22" t="n"/>
      <c r="F968" s="22">
        <f>IFERROR(+VLOOKUP(D968,Master!B:C,2,0),"")</f>
        <v/>
      </c>
      <c r="G968" s="23" t="n"/>
      <c r="H968" s="23">
        <f>+E968*G968</f>
        <v/>
      </c>
    </row>
    <row r="969">
      <c r="A969" s="8" t="n"/>
      <c r="B969" s="7" t="n"/>
      <c r="C969" s="8" t="n"/>
      <c r="D969" s="21" t="n"/>
      <c r="E969" s="22" t="n"/>
      <c r="F969" s="22">
        <f>IFERROR(+VLOOKUP(D969,Master!B:C,2,0),"")</f>
        <v/>
      </c>
      <c r="G969" s="23" t="n"/>
      <c r="H969" s="23">
        <f>+E969*G969</f>
        <v/>
      </c>
    </row>
    <row r="970">
      <c r="A970" s="8" t="n"/>
      <c r="B970" s="7" t="n"/>
      <c r="C970" s="8" t="n"/>
      <c r="D970" s="21" t="n"/>
      <c r="E970" s="22" t="n"/>
      <c r="F970" s="22">
        <f>IFERROR(+VLOOKUP(D970,Master!B:C,2,0),"")</f>
        <v/>
      </c>
      <c r="G970" s="23" t="n"/>
      <c r="H970" s="23">
        <f>+E970*G970</f>
        <v/>
      </c>
    </row>
    <row r="971">
      <c r="A971" s="8" t="n"/>
      <c r="B971" s="7" t="n"/>
      <c r="C971" s="8" t="n"/>
      <c r="D971" s="21" t="n"/>
      <c r="E971" s="22" t="n"/>
      <c r="F971" s="22">
        <f>IFERROR(+VLOOKUP(D971,Master!B:C,2,0),"")</f>
        <v/>
      </c>
      <c r="G971" s="23" t="n"/>
      <c r="H971" s="23">
        <f>+E971*G971</f>
        <v/>
      </c>
    </row>
    <row r="972">
      <c r="A972" s="8" t="n"/>
      <c r="B972" s="7" t="n"/>
      <c r="C972" s="8" t="n"/>
      <c r="D972" s="21" t="n"/>
      <c r="E972" s="22" t="n"/>
      <c r="F972" s="22">
        <f>IFERROR(+VLOOKUP(D972,Master!B:C,2,0),"")</f>
        <v/>
      </c>
      <c r="G972" s="23" t="n"/>
      <c r="H972" s="23">
        <f>+E972*G972</f>
        <v/>
      </c>
    </row>
    <row r="973">
      <c r="A973" s="8" t="n"/>
      <c r="B973" s="7" t="n"/>
      <c r="C973" s="8" t="n"/>
      <c r="D973" s="21" t="n"/>
      <c r="E973" s="22" t="n"/>
      <c r="F973" s="22">
        <f>IFERROR(+VLOOKUP(D973,Master!B:C,2,0),"")</f>
        <v/>
      </c>
      <c r="G973" s="23" t="n"/>
      <c r="H973" s="23">
        <f>+E973*G973</f>
        <v/>
      </c>
    </row>
    <row r="974">
      <c r="A974" s="8" t="n"/>
      <c r="B974" s="7" t="n"/>
      <c r="C974" s="8" t="n"/>
      <c r="D974" s="21" t="n"/>
      <c r="E974" s="22" t="n"/>
      <c r="F974" s="22">
        <f>IFERROR(+VLOOKUP(D974,Master!B:C,2,0),"")</f>
        <v/>
      </c>
      <c r="G974" s="23" t="n"/>
      <c r="H974" s="23">
        <f>+E974*G974</f>
        <v/>
      </c>
    </row>
    <row r="975">
      <c r="A975" s="8" t="n"/>
      <c r="B975" s="7" t="n"/>
      <c r="C975" s="8" t="n"/>
      <c r="D975" s="21" t="n"/>
      <c r="E975" s="22" t="n"/>
      <c r="F975" s="22">
        <f>IFERROR(+VLOOKUP(D975,Master!B:C,2,0),"")</f>
        <v/>
      </c>
      <c r="G975" s="23" t="n"/>
      <c r="H975" s="23">
        <f>+E975*G975</f>
        <v/>
      </c>
    </row>
    <row r="976">
      <c r="A976" s="8" t="n"/>
      <c r="B976" s="7" t="n"/>
      <c r="C976" s="8" t="n"/>
      <c r="D976" s="21" t="n"/>
      <c r="E976" s="22" t="n"/>
      <c r="F976" s="22">
        <f>IFERROR(+VLOOKUP(D976,Master!B:C,2,0),"")</f>
        <v/>
      </c>
      <c r="G976" s="23" t="n"/>
      <c r="H976" s="23">
        <f>+E976*G976</f>
        <v/>
      </c>
    </row>
    <row r="977">
      <c r="A977" s="8" t="n"/>
      <c r="B977" s="7" t="n"/>
      <c r="C977" s="8" t="n"/>
      <c r="D977" s="21" t="n"/>
      <c r="E977" s="22" t="n"/>
      <c r="F977" s="22">
        <f>IFERROR(+VLOOKUP(D977,Master!B:C,2,0),"")</f>
        <v/>
      </c>
      <c r="G977" s="23" t="n"/>
      <c r="H977" s="23">
        <f>+E977*G977</f>
        <v/>
      </c>
    </row>
    <row r="978">
      <c r="A978" s="8" t="n"/>
      <c r="B978" s="7" t="n"/>
      <c r="C978" s="8" t="n"/>
      <c r="D978" s="21" t="n"/>
      <c r="E978" s="22" t="n"/>
      <c r="F978" s="22">
        <f>IFERROR(+VLOOKUP(D978,Master!B:C,2,0),"")</f>
        <v/>
      </c>
      <c r="G978" s="23" t="n"/>
      <c r="H978" s="23">
        <f>+E978*G978</f>
        <v/>
      </c>
    </row>
    <row r="979">
      <c r="A979" s="8" t="n"/>
      <c r="B979" s="7" t="n"/>
      <c r="C979" s="8" t="n"/>
      <c r="D979" s="21" t="n"/>
      <c r="E979" s="22" t="n"/>
      <c r="F979" s="22">
        <f>IFERROR(+VLOOKUP(D979,Master!B:C,2,0),"")</f>
        <v/>
      </c>
      <c r="G979" s="23" t="n"/>
      <c r="H979" s="23">
        <f>+E979*G979</f>
        <v/>
      </c>
    </row>
    <row r="980">
      <c r="A980" s="8" t="n"/>
      <c r="B980" s="7" t="n"/>
      <c r="C980" s="8" t="n"/>
      <c r="D980" s="21" t="n"/>
      <c r="E980" s="22" t="n"/>
      <c r="F980" s="22">
        <f>IFERROR(+VLOOKUP(D980,Master!B:C,2,0),"")</f>
        <v/>
      </c>
      <c r="G980" s="23" t="n"/>
      <c r="H980" s="23">
        <f>+E980*G980</f>
        <v/>
      </c>
    </row>
    <row r="981">
      <c r="A981" s="8" t="n"/>
      <c r="B981" s="7" t="n"/>
      <c r="C981" s="8" t="n"/>
      <c r="D981" s="21" t="n"/>
      <c r="E981" s="22" t="n"/>
      <c r="F981" s="22">
        <f>IFERROR(+VLOOKUP(D981,Master!B:C,2,0),"")</f>
        <v/>
      </c>
      <c r="G981" s="23" t="n"/>
      <c r="H981" s="23">
        <f>+E981*G981</f>
        <v/>
      </c>
    </row>
    <row r="982">
      <c r="A982" s="8" t="n"/>
      <c r="B982" s="7" t="n"/>
      <c r="C982" s="8" t="n"/>
      <c r="D982" s="21" t="n"/>
      <c r="E982" s="22" t="n"/>
      <c r="F982" s="22">
        <f>IFERROR(+VLOOKUP(D982,Master!B:C,2,0),"")</f>
        <v/>
      </c>
      <c r="G982" s="23" t="n"/>
      <c r="H982" s="23">
        <f>+E982*G982</f>
        <v/>
      </c>
    </row>
    <row r="983">
      <c r="A983" s="8" t="n"/>
      <c r="B983" s="7" t="n"/>
      <c r="C983" s="8" t="n"/>
      <c r="D983" s="21" t="n"/>
      <c r="E983" s="22" t="n"/>
      <c r="F983" s="22">
        <f>IFERROR(+VLOOKUP(D983,Master!B:C,2,0),"")</f>
        <v/>
      </c>
      <c r="G983" s="23" t="n"/>
      <c r="H983" s="23">
        <f>+E983*G983</f>
        <v/>
      </c>
    </row>
    <row r="984">
      <c r="A984" s="8" t="n"/>
      <c r="B984" s="7" t="n"/>
      <c r="C984" s="8" t="n"/>
      <c r="D984" s="21" t="n"/>
      <c r="E984" s="22" t="n"/>
      <c r="F984" s="22">
        <f>IFERROR(+VLOOKUP(D984,Master!B:C,2,0),"")</f>
        <v/>
      </c>
      <c r="G984" s="23" t="n"/>
      <c r="H984" s="23">
        <f>+E984*G984</f>
        <v/>
      </c>
    </row>
    <row r="985">
      <c r="A985" s="8" t="n"/>
      <c r="B985" s="7" t="n"/>
      <c r="C985" s="8" t="n"/>
      <c r="D985" s="21" t="n"/>
      <c r="E985" s="22" t="n"/>
      <c r="F985" s="22">
        <f>IFERROR(+VLOOKUP(D985,Master!B:C,2,0),"")</f>
        <v/>
      </c>
      <c r="G985" s="23" t="n"/>
      <c r="H985" s="23">
        <f>+E985*G985</f>
        <v/>
      </c>
    </row>
    <row r="986">
      <c r="A986" s="8" t="n"/>
      <c r="B986" s="7" t="n"/>
      <c r="C986" s="8" t="n"/>
      <c r="D986" s="21" t="n"/>
      <c r="E986" s="22" t="n"/>
      <c r="F986" s="22">
        <f>IFERROR(+VLOOKUP(D986,Master!B:C,2,0),"")</f>
        <v/>
      </c>
      <c r="G986" s="23" t="n"/>
      <c r="H986" s="23">
        <f>+E986*G986</f>
        <v/>
      </c>
    </row>
    <row r="987">
      <c r="A987" s="8" t="n"/>
      <c r="B987" s="7" t="n"/>
      <c r="C987" s="8" t="n"/>
      <c r="D987" s="21" t="n"/>
      <c r="E987" s="22" t="n"/>
      <c r="F987" s="22">
        <f>IFERROR(+VLOOKUP(D987,Master!B:C,2,0),"")</f>
        <v/>
      </c>
      <c r="G987" s="23" t="n"/>
      <c r="H987" s="23">
        <f>+E987*G987</f>
        <v/>
      </c>
    </row>
    <row r="988">
      <c r="A988" s="8" t="n"/>
      <c r="B988" s="7" t="n"/>
      <c r="C988" s="8" t="n"/>
      <c r="D988" s="21" t="n"/>
      <c r="E988" s="22" t="n"/>
      <c r="F988" s="22">
        <f>IFERROR(+VLOOKUP(D988,Master!B:C,2,0),"")</f>
        <v/>
      </c>
      <c r="G988" s="23" t="n"/>
      <c r="H988" s="23">
        <f>+E988*G988</f>
        <v/>
      </c>
    </row>
    <row r="989">
      <c r="A989" s="8" t="n"/>
      <c r="B989" s="7" t="n"/>
      <c r="C989" s="8" t="n"/>
      <c r="D989" s="21" t="n"/>
      <c r="E989" s="22" t="n"/>
      <c r="F989" s="22">
        <f>IFERROR(+VLOOKUP(D989,Master!B:C,2,0),"")</f>
        <v/>
      </c>
      <c r="G989" s="23" t="n"/>
      <c r="H989" s="23">
        <f>+E989*G989</f>
        <v/>
      </c>
    </row>
    <row r="990">
      <c r="A990" s="8" t="n"/>
      <c r="B990" s="7" t="n"/>
      <c r="C990" s="8" t="n"/>
      <c r="D990" s="21" t="n"/>
      <c r="E990" s="22" t="n"/>
      <c r="F990" s="22">
        <f>IFERROR(+VLOOKUP(D990,Master!B:C,2,0),"")</f>
        <v/>
      </c>
      <c r="G990" s="23" t="n"/>
      <c r="H990" s="23">
        <f>+E990*G990</f>
        <v/>
      </c>
    </row>
    <row r="991">
      <c r="A991" s="8" t="n"/>
      <c r="B991" s="7" t="n"/>
      <c r="C991" s="8" t="n"/>
      <c r="D991" s="21" t="n"/>
      <c r="E991" s="22" t="n"/>
      <c r="F991" s="22">
        <f>IFERROR(+VLOOKUP(D991,Master!B:C,2,0),"")</f>
        <v/>
      </c>
      <c r="G991" s="23" t="n"/>
      <c r="H991" s="23">
        <f>+E991*G991</f>
        <v/>
      </c>
    </row>
    <row r="992">
      <c r="A992" s="8" t="n"/>
      <c r="B992" s="7" t="n"/>
      <c r="C992" s="8" t="n"/>
      <c r="D992" s="21" t="n"/>
      <c r="E992" s="22" t="n"/>
      <c r="F992" s="22">
        <f>IFERROR(+VLOOKUP(D992,Master!B:C,2,0),"")</f>
        <v/>
      </c>
      <c r="G992" s="23" t="n"/>
      <c r="H992" s="23">
        <f>+E992*G992</f>
        <v/>
      </c>
    </row>
    <row r="993">
      <c r="A993" s="8" t="n"/>
      <c r="B993" s="7" t="n"/>
      <c r="C993" s="8" t="n"/>
      <c r="D993" s="21" t="n"/>
      <c r="E993" s="22" t="n"/>
      <c r="F993" s="22">
        <f>IFERROR(+VLOOKUP(D993,Master!B:C,2,0),"")</f>
        <v/>
      </c>
      <c r="G993" s="23" t="n"/>
      <c r="H993" s="23">
        <f>+E993*G993</f>
        <v/>
      </c>
    </row>
    <row r="994">
      <c r="A994" s="8" t="n"/>
      <c r="B994" s="7" t="n"/>
      <c r="C994" s="8" t="n"/>
      <c r="D994" s="21" t="n"/>
      <c r="E994" s="22" t="n"/>
      <c r="F994" s="22">
        <f>IFERROR(+VLOOKUP(D994,Master!B:C,2,0),"")</f>
        <v/>
      </c>
      <c r="G994" s="23" t="n"/>
      <c r="H994" s="23">
        <f>+E994*G994</f>
        <v/>
      </c>
    </row>
    <row r="995">
      <c r="A995" s="8" t="n"/>
      <c r="B995" s="7" t="n"/>
      <c r="C995" s="8" t="n"/>
      <c r="D995" s="21" t="n"/>
      <c r="E995" s="22" t="n"/>
      <c r="F995" s="22">
        <f>IFERROR(+VLOOKUP(D995,Master!B:C,2,0),"")</f>
        <v/>
      </c>
      <c r="G995" s="23" t="n"/>
      <c r="H995" s="23">
        <f>+E995*G995</f>
        <v/>
      </c>
    </row>
    <row r="996">
      <c r="A996" s="8" t="n"/>
      <c r="B996" s="7" t="n"/>
      <c r="C996" s="8" t="n"/>
      <c r="D996" s="21" t="n"/>
      <c r="E996" s="22" t="n"/>
      <c r="F996" s="22">
        <f>IFERROR(+VLOOKUP(D996,Master!B:C,2,0),"")</f>
        <v/>
      </c>
      <c r="G996" s="23" t="n"/>
      <c r="H996" s="23">
        <f>+E996*G996</f>
        <v/>
      </c>
    </row>
    <row r="997">
      <c r="A997" s="8" t="n"/>
      <c r="B997" s="7" t="n"/>
      <c r="C997" s="8" t="n"/>
      <c r="D997" s="21" t="n"/>
      <c r="E997" s="22" t="n"/>
      <c r="F997" s="22">
        <f>IFERROR(+VLOOKUP(D997,Master!B:C,2,0),"")</f>
        <v/>
      </c>
      <c r="G997" s="23" t="n"/>
      <c r="H997" s="23">
        <f>+E997*G997</f>
        <v/>
      </c>
    </row>
    <row r="998">
      <c r="A998" s="8" t="n"/>
      <c r="B998" s="7" t="n"/>
      <c r="C998" s="8" t="n"/>
      <c r="D998" s="21" t="n"/>
      <c r="E998" s="22" t="n"/>
      <c r="F998" s="22">
        <f>IFERROR(+VLOOKUP(D998,Master!B:C,2,0),"")</f>
        <v/>
      </c>
      <c r="G998" s="23" t="n"/>
      <c r="H998" s="23">
        <f>+E998*G998</f>
        <v/>
      </c>
    </row>
    <row r="999">
      <c r="A999" s="8" t="n"/>
      <c r="B999" s="7" t="n"/>
      <c r="C999" s="8" t="n"/>
      <c r="D999" s="21" t="n"/>
      <c r="E999" s="22" t="n"/>
      <c r="F999" s="22">
        <f>IFERROR(+VLOOKUP(D999,Master!B:C,2,0),"")</f>
        <v/>
      </c>
      <c r="G999" s="23" t="n"/>
      <c r="H999" s="23">
        <f>+E999*G999</f>
        <v/>
      </c>
    </row>
    <row r="1000">
      <c r="A1000" s="8" t="n"/>
      <c r="B1000" s="7" t="n"/>
      <c r="C1000" s="8" t="n"/>
      <c r="D1000" s="21" t="n"/>
      <c r="E1000" s="22" t="n"/>
      <c r="F1000" s="22">
        <f>IFERROR(+VLOOKUP(D1000,Master!B:C,2,0),"")</f>
        <v/>
      </c>
      <c r="G1000" s="23" t="n"/>
      <c r="H1000" s="23">
        <f>+E1000*G1000</f>
        <v/>
      </c>
    </row>
    <row r="1001">
      <c r="A1001" s="8" t="n"/>
      <c r="B1001" s="7" t="n"/>
      <c r="C1001" s="8" t="n"/>
      <c r="D1001" s="21" t="n"/>
      <c r="E1001" s="22" t="n"/>
      <c r="F1001" s="22">
        <f>IFERROR(+VLOOKUP(D1001,Master!B:C,2,0),"")</f>
        <v/>
      </c>
      <c r="G1001" s="23" t="n"/>
      <c r="H1001" s="23">
        <f>+E1001*G1001</f>
        <v/>
      </c>
    </row>
    <row r="1002">
      <c r="A1002" s="8" t="n"/>
      <c r="B1002" s="7" t="n"/>
      <c r="C1002" s="8" t="n"/>
      <c r="D1002" s="21" t="n"/>
      <c r="E1002" s="22" t="n"/>
      <c r="F1002" s="22">
        <f>IFERROR(+VLOOKUP(D1002,Master!B:C,2,0),"")</f>
        <v/>
      </c>
      <c r="G1002" s="23" t="n"/>
      <c r="H1002" s="23">
        <f>+E1002*G1002</f>
        <v/>
      </c>
    </row>
    <row r="1003">
      <c r="A1003" s="24" t="inlineStr">
        <is>
          <t>Total</t>
        </is>
      </c>
      <c r="B1003" s="7" t="n"/>
      <c r="C1003" s="8" t="n"/>
      <c r="D1003" s="21" t="n"/>
      <c r="E1003" s="25">
        <f>SUM(E4:E1002)</f>
        <v/>
      </c>
      <c r="F1003" s="9" t="n"/>
      <c r="G1003" s="25" t="n"/>
      <c r="H1003" s="25">
        <f>SUM(H4:H1002)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65"/>
  <sheetViews>
    <sheetView workbookViewId="0">
      <selection activeCell="A1" sqref="A1"/>
    </sheetView>
  </sheetViews>
  <sheetFormatPr baseColWidth="8" defaultRowHeight="15"/>
  <cols>
    <col width="13.77734375" customWidth="1" min="1" max="1"/>
    <col width="8.5546875" customWidth="1" min="2" max="2"/>
    <col width="18.21875" customWidth="1" min="3" max="3"/>
    <col width="10.77734375" customWidth="1" min="4" max="4"/>
    <col width="8.88671875" customWidth="1" min="5" max="5"/>
    <col width="13" customWidth="1" min="6" max="6"/>
    <col width="18.6640625" customWidth="1" min="7" max="7"/>
  </cols>
  <sheetData>
    <row r="1" ht="20.4" customHeight="1">
      <c r="A1" s="19" t="inlineStr">
        <is>
          <t>DAILY STOCK USE ENTRY</t>
        </is>
      </c>
      <c r="B1" s="19" t="n"/>
      <c r="C1" s="19" t="n"/>
      <c r="D1" s="19" t="n"/>
      <c r="E1" s="19" t="n"/>
      <c r="F1" s="19" t="n"/>
      <c r="G1" s="19" t="n"/>
    </row>
    <row r="2" ht="18.6" customHeight="1">
      <c r="A2" s="26">
        <f>TEXT(+A4,"MMMM YYYY")</f>
        <v/>
      </c>
      <c r="B2" s="26" t="n"/>
      <c r="C2" s="26" t="n"/>
      <c r="D2" s="26" t="n"/>
      <c r="E2" s="26" t="n"/>
      <c r="F2" s="26" t="n"/>
      <c r="G2" s="26" t="n"/>
    </row>
    <row r="3" ht="18.6" customHeight="1">
      <c r="A3" s="5" t="inlineStr">
        <is>
          <t>Date</t>
        </is>
      </c>
      <c r="B3" s="5" t="inlineStr">
        <is>
          <t>Meal</t>
        </is>
      </c>
      <c r="C3" s="5" t="inlineStr">
        <is>
          <t>Item</t>
        </is>
      </c>
      <c r="D3" s="5" t="inlineStr">
        <is>
          <t>Qty Used</t>
        </is>
      </c>
      <c r="E3" s="5" t="inlineStr">
        <is>
          <t>Unit</t>
        </is>
      </c>
      <c r="F3" s="5" t="inlineStr">
        <is>
          <t xml:space="preserve">Rate </t>
        </is>
      </c>
      <c r="G3" s="5" t="inlineStr">
        <is>
          <t>Amount</t>
        </is>
      </c>
    </row>
    <row r="4">
      <c r="A4" s="8" t="n">
        <v>46235</v>
      </c>
      <c r="B4" s="8" t="inlineStr">
        <is>
          <t>Lunch</t>
        </is>
      </c>
      <c r="C4" s="21" t="inlineStr">
        <is>
          <t>Rice</t>
        </is>
      </c>
      <c r="D4" s="22" t="n">
        <v>50</v>
      </c>
      <c r="E4" s="22">
        <f>IFERROR(+VLOOKUP(C4,Master!B:C,2,0),"")</f>
        <v/>
      </c>
      <c r="F4" s="23">
        <f>LOOKUP(2,1/((Purchase!$D$1:$D$500=C4)*(Purchase!$A$1:$A$500&lt;=A4)),Purchase!$G$1:$G$500)</f>
        <v/>
      </c>
      <c r="G4" s="23">
        <f>+D4*F4</f>
        <v/>
      </c>
    </row>
    <row r="5">
      <c r="A5" s="8" t="n">
        <v>46235</v>
      </c>
      <c r="B5" s="8" t="inlineStr">
        <is>
          <t>Lunch</t>
        </is>
      </c>
      <c r="C5" s="21" t="inlineStr">
        <is>
          <t>Atta</t>
        </is>
      </c>
      <c r="D5" s="22" t="n">
        <v>55</v>
      </c>
      <c r="E5" s="22">
        <f>IFERROR(+VLOOKUP(C5,Master!B:C,2,0),"")</f>
        <v/>
      </c>
      <c r="F5" s="23">
        <f>LOOKUP(2,1/((Purchase!$D$1:$D$500=C5)*(Purchase!$A$1:$A$500&lt;=A5)),Purchase!$G$1:$G$500)</f>
        <v/>
      </c>
      <c r="G5" s="23">
        <f>+D5*F5</f>
        <v/>
      </c>
    </row>
    <row r="6">
      <c r="A6" s="8" t="n">
        <v>46235</v>
      </c>
      <c r="B6" s="8" t="inlineStr">
        <is>
          <t>Lunch</t>
        </is>
      </c>
      <c r="C6" s="21" t="inlineStr">
        <is>
          <t>Oil</t>
        </is>
      </c>
      <c r="D6" s="22" t="n">
        <v>8</v>
      </c>
      <c r="E6" s="22">
        <f>IFERROR(+VLOOKUP(C6,Master!B:C,2,0),"")</f>
        <v/>
      </c>
      <c r="F6" s="23">
        <f>LOOKUP(2,1/((Purchase!$D$1:$D$500=C6)*(Purchase!$A$1:$A$500&lt;=A6)),Purchase!$G$1:$G$500)</f>
        <v/>
      </c>
      <c r="G6" s="23">
        <f>+D6*F6</f>
        <v/>
      </c>
    </row>
    <row r="7">
      <c r="A7" s="8" t="n">
        <v>46235</v>
      </c>
      <c r="B7" s="8" t="inlineStr">
        <is>
          <t>Lunch</t>
        </is>
      </c>
      <c r="C7" s="21" t="inlineStr">
        <is>
          <t>Dal (Toor)</t>
        </is>
      </c>
      <c r="D7" s="22" t="n">
        <v>16</v>
      </c>
      <c r="E7" s="22">
        <f>IFERROR(+VLOOKUP(C7,Master!B:C,2,0),"")</f>
        <v/>
      </c>
      <c r="F7" s="23">
        <f>LOOKUP(2,1/((Purchase!$D$1:$D$500=C7)*(Purchase!$A$1:$A$500&lt;=A7)),Purchase!$G$1:$G$500)</f>
        <v/>
      </c>
      <c r="G7" s="23">
        <f>+D7*F7</f>
        <v/>
      </c>
    </row>
    <row r="8">
      <c r="A8" s="8" t="n">
        <v>46235</v>
      </c>
      <c r="B8" s="8" t="inlineStr">
        <is>
          <t>Lunch</t>
        </is>
      </c>
      <c r="C8" s="21" t="inlineStr">
        <is>
          <t>Salt</t>
        </is>
      </c>
      <c r="D8" s="22" t="n">
        <v>3</v>
      </c>
      <c r="E8" s="22">
        <f>IFERROR(+VLOOKUP(C8,Master!B:C,2,0),"")</f>
        <v/>
      </c>
      <c r="F8" s="23">
        <f>LOOKUP(2,1/((Purchase!$D$1:$D$500=C8)*(Purchase!$A$1:$A$500&lt;=A8)),Purchase!$G$1:$G$500)</f>
        <v/>
      </c>
      <c r="G8" s="23">
        <f>+D8*F8</f>
        <v/>
      </c>
    </row>
    <row r="9">
      <c r="A9" s="8" t="n">
        <v>46235</v>
      </c>
      <c r="B9" s="8" t="inlineStr">
        <is>
          <t>Lunch</t>
        </is>
      </c>
      <c r="C9" s="21" t="inlineStr">
        <is>
          <t>Mirch-P</t>
        </is>
      </c>
      <c r="D9" s="22" t="n">
        <v>800</v>
      </c>
      <c r="E9" s="22">
        <f>IFERROR(+VLOOKUP(C9,Master!B:C,2,0),"")</f>
        <v/>
      </c>
      <c r="F9" s="23">
        <f>LOOKUP(2,1/((Purchase!$D$1:$D$500=C9)*(Purchase!$A$1:$A$500&lt;=A9)),Purchase!$G$1:$G$500)</f>
        <v/>
      </c>
      <c r="G9" s="23">
        <f>+D9*F9</f>
        <v/>
      </c>
    </row>
    <row r="10">
      <c r="A10" s="8" t="n">
        <v>46235</v>
      </c>
      <c r="B10" s="8" t="inlineStr">
        <is>
          <t>Lunch</t>
        </is>
      </c>
      <c r="C10" s="21" t="inlineStr">
        <is>
          <t>Haldi-P</t>
        </is>
      </c>
      <c r="D10" s="22" t="n">
        <v>500</v>
      </c>
      <c r="E10" s="22">
        <f>IFERROR(+VLOOKUP(C10,Master!B:C,2,0),"")</f>
        <v/>
      </c>
      <c r="F10" s="23">
        <f>LOOKUP(2,1/((Purchase!$D$1:$D$500=C10)*(Purchase!$A$1:$A$500&lt;=A10)),Purchase!$G$1:$G$500)</f>
        <v/>
      </c>
      <c r="G10" s="23">
        <f>+D10*F10</f>
        <v/>
      </c>
    </row>
    <row r="11">
      <c r="A11" s="8" t="n">
        <v>46235</v>
      </c>
      <c r="B11" s="8" t="inlineStr">
        <is>
          <t>Lunch</t>
        </is>
      </c>
      <c r="C11" s="21" t="inlineStr">
        <is>
          <t>Jeera</t>
        </is>
      </c>
      <c r="D11" s="22" t="n">
        <v>100</v>
      </c>
      <c r="E11" s="22">
        <f>IFERROR(+VLOOKUP(C11,Master!B:C,2,0),"")</f>
        <v/>
      </c>
      <c r="F11" s="23">
        <f>LOOKUP(2,1/((Purchase!$D$1:$D$500=C11)*(Purchase!$A$1:$A$500&lt;=A11)),Purchase!$G$1:$G$500)</f>
        <v/>
      </c>
      <c r="G11" s="23">
        <f>+D11*F11</f>
        <v/>
      </c>
    </row>
    <row r="12">
      <c r="A12" s="8" t="n">
        <v>46235</v>
      </c>
      <c r="B12" s="8" t="inlineStr">
        <is>
          <t>Lunch</t>
        </is>
      </c>
      <c r="C12" s="21" t="inlineStr">
        <is>
          <t>Sukha Mirch</t>
        </is>
      </c>
      <c r="D12" s="22" t="n">
        <v>200</v>
      </c>
      <c r="E12" s="22">
        <f>IFERROR(+VLOOKUP(C12,Master!B:C,2,0),"")</f>
        <v/>
      </c>
      <c r="F12" s="23">
        <f>LOOKUP(2,1/((Purchase!$D$1:$D$500=C12)*(Purchase!$A$1:$A$500&lt;=A12)),Purchase!$G$1:$G$500)</f>
        <v/>
      </c>
      <c r="G12" s="23">
        <f>+D12*F12</f>
        <v/>
      </c>
    </row>
    <row r="13">
      <c r="A13" s="8" t="n">
        <v>46235</v>
      </c>
      <c r="B13" s="8" t="inlineStr">
        <is>
          <t>Lunch</t>
        </is>
      </c>
      <c r="C13" s="21" t="inlineStr">
        <is>
          <t>Tej Patta</t>
        </is>
      </c>
      <c r="D13" s="22" t="n">
        <v>50</v>
      </c>
      <c r="E13" s="22">
        <f>IFERROR(+VLOOKUP(C13,Master!B:C,2,0),"")</f>
        <v/>
      </c>
      <c r="F13" s="23">
        <f>LOOKUP(2,1/((Purchase!$D$1:$D$500=C13)*(Purchase!$A$1:$A$500&lt;=A13)),Purchase!$G$1:$G$500)</f>
        <v/>
      </c>
      <c r="G13" s="23">
        <f>+D13*F13</f>
        <v/>
      </c>
    </row>
    <row r="14">
      <c r="A14" s="8" t="n">
        <v>46235</v>
      </c>
      <c r="B14" s="8" t="inlineStr">
        <is>
          <t>Lunch</t>
        </is>
      </c>
      <c r="C14" s="21" t="inlineStr">
        <is>
          <t>Akha Masala</t>
        </is>
      </c>
      <c r="D14" s="22" t="n">
        <v>300</v>
      </c>
      <c r="E14" s="22">
        <f>IFERROR(+VLOOKUP(C14,Master!B:C,2,0),"")</f>
        <v/>
      </c>
      <c r="F14" s="23">
        <f>LOOKUP(2,1/((Purchase!$D$1:$D$500=C14)*(Purchase!$A$1:$A$500&lt;=A14)),Purchase!$G$1:$G$500)</f>
        <v/>
      </c>
      <c r="G14" s="23">
        <f>+D14*F14</f>
        <v/>
      </c>
    </row>
    <row r="15">
      <c r="A15" s="8" t="n">
        <v>46235</v>
      </c>
      <c r="B15" s="8" t="inlineStr">
        <is>
          <t>Lunch</t>
        </is>
      </c>
      <c r="C15" s="21" t="inlineStr">
        <is>
          <t>Rai</t>
        </is>
      </c>
      <c r="D15" s="22" t="n">
        <v>100</v>
      </c>
      <c r="E15" s="22">
        <f>IFERROR(+VLOOKUP(C15,Master!B:C,2,0),"")</f>
        <v/>
      </c>
      <c r="F15" s="23">
        <f>LOOKUP(2,1/((Purchase!$D$1:$D$500=C15)*(Purchase!$A$1:$A$500&lt;=A15)),Purchase!$G$1:$G$500)</f>
        <v/>
      </c>
      <c r="G15" s="23">
        <f>+D15*F15</f>
        <v/>
      </c>
    </row>
    <row r="16">
      <c r="A16" s="8" t="n">
        <v>46235</v>
      </c>
      <c r="B16" s="8" t="inlineStr">
        <is>
          <t>Lunch</t>
        </is>
      </c>
      <c r="C16" s="21" t="inlineStr">
        <is>
          <t>Dhania P</t>
        </is>
      </c>
      <c r="D16" s="22" t="n">
        <v>500</v>
      </c>
      <c r="E16" s="22">
        <f>IFERROR(+VLOOKUP(C16,Master!B:C,2,0),"")</f>
        <v/>
      </c>
      <c r="F16" s="23">
        <f>LOOKUP(2,1/((Purchase!$D$1:$D$500=C16)*(Purchase!$A$1:$A$500&lt;=A16)),Purchase!$G$1:$G$500)</f>
        <v/>
      </c>
      <c r="G16" s="23">
        <f>+D16*F16</f>
        <v/>
      </c>
    </row>
    <row r="17">
      <c r="A17" s="8" t="n">
        <v>46235</v>
      </c>
      <c r="B17" s="8" t="inlineStr">
        <is>
          <t>Lunch</t>
        </is>
      </c>
      <c r="C17" s="21" t="inlineStr">
        <is>
          <t>Garam Masala</t>
        </is>
      </c>
      <c r="D17" s="22" t="n">
        <v>250</v>
      </c>
      <c r="E17" s="22">
        <f>IFERROR(+VLOOKUP(C17,Master!B:C,2,0),"")</f>
        <v/>
      </c>
      <c r="F17" s="23">
        <f>LOOKUP(2,1/((Purchase!$D$1:$D$500=C17)*(Purchase!$A$1:$A$500&lt;=A17)),Purchase!$G$1:$G$500)</f>
        <v/>
      </c>
      <c r="G17" s="23">
        <f>+D17*F17</f>
        <v/>
      </c>
    </row>
    <row r="18">
      <c r="A18" s="8" t="n">
        <v>46235</v>
      </c>
      <c r="B18" s="8" t="inlineStr">
        <is>
          <t>Lunch</t>
        </is>
      </c>
      <c r="C18" s="21" t="inlineStr">
        <is>
          <t>EGG</t>
        </is>
      </c>
      <c r="D18" s="22" t="n">
        <v>0</v>
      </c>
      <c r="E18" s="22">
        <f>IFERROR(+VLOOKUP(C18,Master!B:C,2,0),"")</f>
        <v/>
      </c>
      <c r="F18" s="23">
        <f>LOOKUP(2,1/((Purchase!$D$1:$D$500=C18)*(Purchase!$A$1:$A$500&lt;=A18)),Purchase!$G$1:$G$500)</f>
        <v/>
      </c>
      <c r="G18" s="23">
        <f>+D18*F18</f>
        <v/>
      </c>
    </row>
    <row r="19">
      <c r="A19" s="8" t="n">
        <v>46235</v>
      </c>
      <c r="B19" s="8" t="inlineStr">
        <is>
          <t>Lunch</t>
        </is>
      </c>
      <c r="C19" s="21" t="inlineStr">
        <is>
          <t>FISH</t>
        </is>
      </c>
      <c r="D19" s="22" t="n">
        <v>0</v>
      </c>
      <c r="E19" s="22">
        <f>IFERROR(+VLOOKUP(C19,Master!B:C,2,0),"")</f>
        <v/>
      </c>
      <c r="F19" s="23">
        <f>LOOKUP(2,1/((Purchase!$D$1:$D$500=C19)*(Purchase!$A$1:$A$500&lt;=A19)),Purchase!$G$1:$G$500)</f>
        <v/>
      </c>
      <c r="G19" s="23">
        <f>+D19*F19</f>
        <v/>
      </c>
    </row>
    <row r="20">
      <c r="A20" s="8" t="n">
        <v>46235</v>
      </c>
      <c r="B20" s="8" t="inlineStr">
        <is>
          <t>Lunch</t>
        </is>
      </c>
      <c r="C20" s="21" t="inlineStr">
        <is>
          <t>CHICKEN</t>
        </is>
      </c>
      <c r="D20" s="22" t="n">
        <v>0</v>
      </c>
      <c r="E20" s="22">
        <f>IFERROR(+VLOOKUP(C20,Master!B:C,2,0),"")</f>
        <v/>
      </c>
      <c r="F20" s="23">
        <f>LOOKUP(2,1/((Purchase!$D$1:$D$500=C20)*(Purchase!$A$1:$A$500&lt;=A20)),Purchase!$G$1:$G$500)</f>
        <v/>
      </c>
      <c r="G20" s="23">
        <f>+D20*F20</f>
        <v/>
      </c>
    </row>
    <row r="21">
      <c r="A21" s="8" t="n">
        <v>46235</v>
      </c>
      <c r="B21" s="8" t="inlineStr">
        <is>
          <t>Lunch</t>
        </is>
      </c>
      <c r="C21" s="21" t="inlineStr">
        <is>
          <t>Aloo</t>
        </is>
      </c>
      <c r="D21" s="22" t="n">
        <v>70</v>
      </c>
      <c r="E21" s="22">
        <f>IFERROR(+VLOOKUP(C21,Master!B:C,2,0),"")</f>
        <v/>
      </c>
      <c r="F21" s="23">
        <f>LOOKUP(2,1/((Purchase!$D$1:$D$500=C21)*(Purchase!$A$1:$A$500&lt;=A21)),Purchase!$G$1:$G$500)</f>
        <v/>
      </c>
      <c r="G21" s="23">
        <f>+D21*F21</f>
        <v/>
      </c>
    </row>
    <row r="22">
      <c r="A22" s="8" t="n">
        <v>46235</v>
      </c>
      <c r="B22" s="8" t="inlineStr">
        <is>
          <t>Lunch</t>
        </is>
      </c>
      <c r="C22" s="21" t="inlineStr">
        <is>
          <t>Galka</t>
        </is>
      </c>
      <c r="D22" s="22" t="n">
        <v>30</v>
      </c>
      <c r="E22" s="22">
        <f>IFERROR(+VLOOKUP(C22,Master!B:C,2,0),"")</f>
        <v/>
      </c>
      <c r="F22" s="23">
        <f>LOOKUP(2,1/((Purchase!$D$1:$D$500=C22)*(Purchase!$A$1:$A$500&lt;=A22)),Purchase!$G$1:$G$500)</f>
        <v/>
      </c>
      <c r="G22" s="23">
        <f>+D22*F22</f>
        <v/>
      </c>
    </row>
    <row r="23">
      <c r="A23" s="8" t="n">
        <v>46235</v>
      </c>
      <c r="B23" s="8" t="inlineStr">
        <is>
          <t>Lunch</t>
        </is>
      </c>
      <c r="C23" s="21" t="inlineStr">
        <is>
          <t>Tomato</t>
        </is>
      </c>
      <c r="D23" s="22" t="n">
        <v>3</v>
      </c>
      <c r="E23" s="22">
        <f>IFERROR(+VLOOKUP(C23,Master!B:C,2,0),"")</f>
        <v/>
      </c>
      <c r="F23" s="23">
        <f>LOOKUP(2,1/((Purchase!$D$1:$D$500=C23)*(Purchase!$A$1:$A$500&lt;=A23)),Purchase!$G$1:$G$500)</f>
        <v/>
      </c>
      <c r="G23" s="23">
        <f>+D23*F23</f>
        <v/>
      </c>
    </row>
    <row r="24">
      <c r="A24" s="8" t="n">
        <v>46235</v>
      </c>
      <c r="B24" s="8" t="inlineStr">
        <is>
          <t>Lunch</t>
        </is>
      </c>
      <c r="C24" s="21" t="inlineStr">
        <is>
          <t>Onion</t>
        </is>
      </c>
      <c r="D24" s="22" t="n">
        <v>10</v>
      </c>
      <c r="E24" s="22">
        <f>IFERROR(+VLOOKUP(C24,Master!B:C,2,0),"")</f>
        <v/>
      </c>
      <c r="F24" s="23">
        <f>LOOKUP(2,1/((Purchase!$D$1:$D$500=C24)*(Purchase!$A$1:$A$500&lt;=A24)),Purchase!$G$1:$G$500)</f>
        <v/>
      </c>
      <c r="G24" s="23">
        <f>+D24*F24</f>
        <v/>
      </c>
    </row>
    <row r="25">
      <c r="A25" s="8" t="n">
        <v>46235</v>
      </c>
      <c r="B25" s="8" t="inlineStr">
        <is>
          <t>Lunch</t>
        </is>
      </c>
      <c r="C25" s="21" t="inlineStr">
        <is>
          <t>Adrak</t>
        </is>
      </c>
      <c r="D25" s="22" t="n">
        <v>1</v>
      </c>
      <c r="E25" s="22">
        <f>IFERROR(+VLOOKUP(C25,Master!B:C,2,0),"")</f>
        <v/>
      </c>
      <c r="F25" s="23">
        <f>LOOKUP(2,1/((Purchase!$D$1:$D$500=C25)*(Purchase!$A$1:$A$500&lt;=A25)),Purchase!$G$1:$G$500)</f>
        <v/>
      </c>
      <c r="G25" s="23">
        <f>+D25*F25</f>
        <v/>
      </c>
    </row>
    <row r="26">
      <c r="A26" s="8" t="n">
        <v>46235</v>
      </c>
      <c r="B26" s="8" t="inlineStr">
        <is>
          <t>Lunch</t>
        </is>
      </c>
      <c r="C26" s="21" t="inlineStr">
        <is>
          <t>Lehsun</t>
        </is>
      </c>
      <c r="D26" s="22" t="n">
        <v>1</v>
      </c>
      <c r="E26" s="22">
        <f>IFERROR(+VLOOKUP(C26,Master!B:C,2,0),"")</f>
        <v/>
      </c>
      <c r="F26" s="23">
        <f>LOOKUP(2,1/((Purchase!$D$1:$D$500=C26)*(Purchase!$A$1:$A$500&lt;=A26)),Purchase!$G$1:$G$500)</f>
        <v/>
      </c>
      <c r="G26" s="23">
        <f>+D26*F26</f>
        <v/>
      </c>
    </row>
    <row r="27">
      <c r="A27" s="8" t="n">
        <v>46235</v>
      </c>
      <c r="B27" s="8" t="inlineStr">
        <is>
          <t>Lunch</t>
        </is>
      </c>
      <c r="C27" t="inlineStr">
        <is>
          <t>Hari Mirch</t>
        </is>
      </c>
      <c r="D27" s="22" t="n">
        <v>400</v>
      </c>
      <c r="E27" s="22">
        <f>IFERROR(+VLOOKUP(C27,Master!B:C,2,0),"")</f>
        <v/>
      </c>
      <c r="F27" s="23">
        <f>LOOKUP(2,1/((Purchase!$D$1:$D$500=C27)*(Purchase!$A$1:$A$500&lt;=A27)),Purchase!$G$1:$G$500)</f>
        <v/>
      </c>
      <c r="G27" s="23">
        <f>+D27*F27</f>
        <v/>
      </c>
    </row>
    <row r="28">
      <c r="A28" s="8" t="n">
        <v>46235</v>
      </c>
      <c r="B28" s="8" t="inlineStr">
        <is>
          <t>Lunch</t>
        </is>
      </c>
      <c r="C28" s="21" t="n"/>
      <c r="D28" s="22" t="n"/>
      <c r="E28" s="22">
        <f>IFERROR(+VLOOKUP(C28,Master!B:C,2,0),"")</f>
        <v/>
      </c>
      <c r="F28" s="23">
        <f>LOOKUP(2,1/((Purchase!$D$1:$D$500=C28)*(Purchase!$A$1:$A$500&lt;=A28)),Purchase!$G$1:$G$500)</f>
        <v/>
      </c>
      <c r="G28" s="23" t="n"/>
    </row>
    <row r="29">
      <c r="A29" s="8" t="n">
        <v>46235</v>
      </c>
      <c r="B29" s="8" t="inlineStr">
        <is>
          <t>Dinner</t>
        </is>
      </c>
      <c r="C29" s="21" t="inlineStr">
        <is>
          <t>Rice</t>
        </is>
      </c>
      <c r="D29" s="22" t="n">
        <v>71</v>
      </c>
      <c r="E29" s="22">
        <f>IFERROR(+VLOOKUP(C29,Master!B:C,2,0),"")</f>
        <v/>
      </c>
      <c r="F29" s="23">
        <f>LOOKUP(2,1/((Purchase!$D$1:$D$500=C29)*(Purchase!$A$1:$A$500&lt;=A29)),Purchase!$G$1:$G$500)</f>
        <v/>
      </c>
      <c r="G29" s="23">
        <f>+D29*F29</f>
        <v/>
      </c>
    </row>
    <row r="30">
      <c r="A30" s="8" t="n">
        <v>46235</v>
      </c>
      <c r="B30" s="8" t="inlineStr">
        <is>
          <t>Dinner</t>
        </is>
      </c>
      <c r="C30" s="21" t="inlineStr">
        <is>
          <t>Atta</t>
        </is>
      </c>
      <c r="D30" s="22" t="n">
        <v>65</v>
      </c>
      <c r="E30" s="22">
        <f>IFERROR(+VLOOKUP(C30,Master!B:C,2,0),"")</f>
        <v/>
      </c>
      <c r="F30" s="23">
        <f>LOOKUP(2,1/((Purchase!$D$1:$D$500=C30)*(Purchase!$A$1:$A$500&lt;=A30)),Purchase!$G$1:$G$500)</f>
        <v/>
      </c>
      <c r="G30" s="23">
        <f>+D30*F30</f>
        <v/>
      </c>
    </row>
    <row r="31">
      <c r="A31" s="8" t="n">
        <v>46235</v>
      </c>
      <c r="B31" s="8" t="inlineStr">
        <is>
          <t>Dinner</t>
        </is>
      </c>
      <c r="C31" s="21" t="inlineStr">
        <is>
          <t>Oil</t>
        </is>
      </c>
      <c r="D31" s="22" t="n">
        <v>15</v>
      </c>
      <c r="E31" s="22">
        <f>IFERROR(+VLOOKUP(C31,Master!B:C,2,0),"")</f>
        <v/>
      </c>
      <c r="F31" s="23">
        <f>LOOKUP(2,1/((Purchase!$D$1:$D$500=C31)*(Purchase!$A$1:$A$500&lt;=A31)),Purchase!$G$1:$G$500)</f>
        <v/>
      </c>
      <c r="G31" s="23">
        <f>+D31*F31</f>
        <v/>
      </c>
    </row>
    <row r="32">
      <c r="A32" s="8" t="n">
        <v>46235</v>
      </c>
      <c r="B32" s="8" t="inlineStr">
        <is>
          <t>Dinner</t>
        </is>
      </c>
      <c r="C32" s="21" t="inlineStr">
        <is>
          <t>Dal (Toor)</t>
        </is>
      </c>
      <c r="D32" s="22" t="n">
        <v>0</v>
      </c>
      <c r="E32" s="22">
        <f>IFERROR(+VLOOKUP(C32,Master!B:C,2,0),"")</f>
        <v/>
      </c>
      <c r="F32" s="23">
        <f>LOOKUP(2,1/((Purchase!$D$1:$D$500=C32)*(Purchase!$A$1:$A$500&lt;=A32)),Purchase!$G$1:$G$500)</f>
        <v/>
      </c>
      <c r="G32" s="23">
        <f>+D32*F32</f>
        <v/>
      </c>
    </row>
    <row r="33">
      <c r="A33" s="8" t="n">
        <v>46235</v>
      </c>
      <c r="B33" s="8" t="inlineStr">
        <is>
          <t>Dinner</t>
        </is>
      </c>
      <c r="C33" s="21" t="inlineStr">
        <is>
          <t>Salt</t>
        </is>
      </c>
      <c r="D33" s="22" t="n">
        <v>3</v>
      </c>
      <c r="E33" s="22">
        <f>IFERROR(+VLOOKUP(C33,Master!B:C,2,0),"")</f>
        <v/>
      </c>
      <c r="F33" s="23">
        <f>LOOKUP(2,1/((Purchase!$D$1:$D$500=C33)*(Purchase!$A$1:$A$500&lt;=A33)),Purchase!$G$1:$G$500)</f>
        <v/>
      </c>
      <c r="G33" s="23">
        <f>+D33*F33</f>
        <v/>
      </c>
    </row>
    <row r="34">
      <c r="A34" s="8" t="n">
        <v>46235</v>
      </c>
      <c r="B34" s="8" t="inlineStr">
        <is>
          <t>Dinner</t>
        </is>
      </c>
      <c r="C34" s="21" t="inlineStr">
        <is>
          <t>Mirch-P</t>
        </is>
      </c>
      <c r="D34" s="22" t="n">
        <v>1</v>
      </c>
      <c r="E34" s="22">
        <f>IFERROR(+VLOOKUP(C34,Master!B:C,2,0),"")</f>
        <v/>
      </c>
      <c r="F34" s="23">
        <f>LOOKUP(2,1/((Purchase!$D$1:$D$500=C34)*(Purchase!$A$1:$A$500&lt;=A34)),Purchase!$G$1:$G$500)</f>
        <v/>
      </c>
      <c r="G34" s="23">
        <f>+D34*F34</f>
        <v/>
      </c>
    </row>
    <row r="35">
      <c r="A35" s="8" t="n">
        <v>46235</v>
      </c>
      <c r="B35" s="8" t="inlineStr">
        <is>
          <t>Dinner</t>
        </is>
      </c>
      <c r="C35" s="21" t="inlineStr">
        <is>
          <t>Haldi-P</t>
        </is>
      </c>
      <c r="D35" s="22" t="n">
        <v>500</v>
      </c>
      <c r="E35" s="22">
        <f>IFERROR(+VLOOKUP(C35,Master!B:C,2,0),"")</f>
        <v/>
      </c>
      <c r="F35" s="23">
        <f>LOOKUP(2,1/((Purchase!$D$1:$D$500=C35)*(Purchase!$A$1:$A$500&lt;=A35)),Purchase!$G$1:$G$500)</f>
        <v/>
      </c>
      <c r="G35" s="23">
        <f>+D35*F35</f>
        <v/>
      </c>
    </row>
    <row r="36">
      <c r="A36" s="8" t="n">
        <v>46235</v>
      </c>
      <c r="B36" s="8" t="inlineStr">
        <is>
          <t>Dinner</t>
        </is>
      </c>
      <c r="C36" s="21" t="inlineStr">
        <is>
          <t>Jeera</t>
        </is>
      </c>
      <c r="D36" s="22" t="n">
        <v>100</v>
      </c>
      <c r="E36" s="22">
        <f>IFERROR(+VLOOKUP(C36,Master!B:C,2,0),"")</f>
        <v/>
      </c>
      <c r="F36" s="23">
        <f>LOOKUP(2,1/((Purchase!$D$1:$D$500=C36)*(Purchase!$A$1:$A$500&lt;=A36)),Purchase!$G$1:$G$500)</f>
        <v/>
      </c>
      <c r="G36" s="23">
        <f>+D36*F36</f>
        <v/>
      </c>
    </row>
    <row r="37">
      <c r="A37" s="8" t="n">
        <v>46235</v>
      </c>
      <c r="B37" s="8" t="inlineStr">
        <is>
          <t>Dinner</t>
        </is>
      </c>
      <c r="C37" s="21" t="inlineStr">
        <is>
          <t>Sukha Mirch</t>
        </is>
      </c>
      <c r="D37" s="22" t="n">
        <v>200</v>
      </c>
      <c r="E37" s="22">
        <f>IFERROR(+VLOOKUP(C37,Master!B:C,2,0),"")</f>
        <v/>
      </c>
      <c r="F37" s="23">
        <f>LOOKUP(2,1/((Purchase!$D$1:$D$500=C37)*(Purchase!$A$1:$A$500&lt;=A37)),Purchase!$G$1:$G$500)</f>
        <v/>
      </c>
      <c r="G37" s="23">
        <f>+D37*F37</f>
        <v/>
      </c>
    </row>
    <row r="38">
      <c r="A38" s="8" t="n">
        <v>46235</v>
      </c>
      <c r="B38" s="8" t="inlineStr">
        <is>
          <t>Dinner</t>
        </is>
      </c>
      <c r="C38" s="21" t="inlineStr">
        <is>
          <t>Tej Patta</t>
        </is>
      </c>
      <c r="D38" s="22" t="n">
        <v>50</v>
      </c>
      <c r="E38" s="22">
        <f>IFERROR(+VLOOKUP(C38,Master!B:C,2,0),"")</f>
        <v/>
      </c>
      <c r="F38" s="23">
        <f>LOOKUP(2,1/((Purchase!$D$1:$D$500=C38)*(Purchase!$A$1:$A$500&lt;=A38)),Purchase!$G$1:$G$500)</f>
        <v/>
      </c>
      <c r="G38" s="23">
        <f>+D38*F38</f>
        <v/>
      </c>
    </row>
    <row r="39">
      <c r="A39" s="8" t="n">
        <v>46235</v>
      </c>
      <c r="B39" s="8" t="inlineStr">
        <is>
          <t>Dinner</t>
        </is>
      </c>
      <c r="C39" s="21" t="inlineStr">
        <is>
          <t>Akha Masala</t>
        </is>
      </c>
      <c r="D39" s="22" t="n">
        <v>400</v>
      </c>
      <c r="E39" s="22">
        <f>IFERROR(+VLOOKUP(C39,Master!B:C,2,0),"")</f>
        <v/>
      </c>
      <c r="F39" s="23">
        <f>LOOKUP(2,1/((Purchase!$D$1:$D$500=C39)*(Purchase!$A$1:$A$500&lt;=A39)),Purchase!$G$1:$G$500)</f>
        <v/>
      </c>
      <c r="G39" s="23">
        <f>+D39*F39</f>
        <v/>
      </c>
    </row>
    <row r="40">
      <c r="A40" s="8" t="n">
        <v>46235</v>
      </c>
      <c r="B40" s="8" t="inlineStr">
        <is>
          <t>Dinner</t>
        </is>
      </c>
      <c r="C40" s="21" t="inlineStr">
        <is>
          <t>Rai</t>
        </is>
      </c>
      <c r="D40" s="22" t="n">
        <v>100</v>
      </c>
      <c r="E40" s="22">
        <f>IFERROR(+VLOOKUP(C40,Master!B:C,2,0),"")</f>
        <v/>
      </c>
      <c r="F40" s="23">
        <f>LOOKUP(2,1/((Purchase!$D$1:$D$500=C40)*(Purchase!$A$1:$A$500&lt;=A40)),Purchase!$G$1:$G$500)</f>
        <v/>
      </c>
      <c r="G40" s="23">
        <f>+D40*F40</f>
        <v/>
      </c>
    </row>
    <row r="41">
      <c r="A41" s="8" t="n">
        <v>46235</v>
      </c>
      <c r="B41" s="8" t="inlineStr">
        <is>
          <t>Dinner</t>
        </is>
      </c>
      <c r="C41" s="21" t="inlineStr">
        <is>
          <t>Dhania P</t>
        </is>
      </c>
      <c r="D41" s="22" t="n">
        <v>500</v>
      </c>
      <c r="E41" s="22">
        <f>IFERROR(+VLOOKUP(C41,Master!B:C,2,0),"")</f>
        <v/>
      </c>
      <c r="F41" s="23">
        <f>LOOKUP(2,1/((Purchase!$D$1:$D$500=C41)*(Purchase!$A$1:$A$500&lt;=A41)),Purchase!$G$1:$G$500)</f>
        <v/>
      </c>
      <c r="G41" s="23">
        <f>+D41*F41</f>
        <v/>
      </c>
    </row>
    <row r="42">
      <c r="A42" s="8" t="n">
        <v>46235</v>
      </c>
      <c r="B42" s="8" t="inlineStr">
        <is>
          <t>Dinner</t>
        </is>
      </c>
      <c r="C42" s="21" t="inlineStr">
        <is>
          <t>Garam Masala</t>
        </is>
      </c>
      <c r="D42" s="22" t="n">
        <v>250</v>
      </c>
      <c r="E42" s="22">
        <f>IFERROR(+VLOOKUP(C42,Master!B:C,2,0),"")</f>
        <v/>
      </c>
      <c r="F42" s="23">
        <f>LOOKUP(2,1/((Purchase!$D$1:$D$500=C42)*(Purchase!$A$1:$A$500&lt;=A42)),Purchase!$G$1:$G$500)</f>
        <v/>
      </c>
      <c r="G42" s="23">
        <f>+D42*F42</f>
        <v/>
      </c>
    </row>
    <row r="43">
      <c r="A43" s="8" t="n">
        <v>46235</v>
      </c>
      <c r="B43" s="8" t="inlineStr">
        <is>
          <t>Dinner</t>
        </is>
      </c>
      <c r="C43" s="21" t="inlineStr">
        <is>
          <t>Garam Masala</t>
        </is>
      </c>
      <c r="D43" s="22" t="n">
        <v>0</v>
      </c>
      <c r="E43" s="22">
        <f>IFERROR(+VLOOKUP(C43,Master!B:C,2,0),"")</f>
        <v/>
      </c>
      <c r="F43" s="23">
        <f>LOOKUP(2,1/((Purchase!$D$1:$D$500=C43)*(Purchase!$A$1:$A$500&lt;=A43)),Purchase!$G$1:$G$500)</f>
        <v/>
      </c>
      <c r="G43" s="23">
        <f>+D43*F43</f>
        <v/>
      </c>
    </row>
    <row r="44">
      <c r="A44" s="8" t="n">
        <v>46235</v>
      </c>
      <c r="B44" s="8" t="inlineStr">
        <is>
          <t>Dinner</t>
        </is>
      </c>
      <c r="C44" s="21" t="inlineStr">
        <is>
          <t>EGG</t>
        </is>
      </c>
      <c r="D44" s="22" t="n"/>
      <c r="E44" s="22">
        <f>IFERROR(+VLOOKUP(C44,Master!B:C,2,0),"")</f>
        <v/>
      </c>
      <c r="F44" s="23">
        <f>LOOKUP(2,1/((Purchase!$D$1:$D$500=C44)*(Purchase!$A$1:$A$500&lt;=A44)),Purchase!$G$1:$G$500)</f>
        <v/>
      </c>
      <c r="G44" s="23">
        <f>+D44*F44</f>
        <v/>
      </c>
    </row>
    <row r="45">
      <c r="A45" s="8" t="n">
        <v>46235</v>
      </c>
      <c r="B45" s="8" t="inlineStr">
        <is>
          <t>Dinner</t>
        </is>
      </c>
      <c r="C45" s="21" t="inlineStr">
        <is>
          <t>FISH</t>
        </is>
      </c>
      <c r="D45" s="22" t="n"/>
      <c r="E45" s="22">
        <f>IFERROR(+VLOOKUP(C45,Master!B:C,2,0),"")</f>
        <v/>
      </c>
      <c r="F45" s="23">
        <f>LOOKUP(2,1/((Purchase!$D$1:$D$500=C45)*(Purchase!$A$1:$A$500&lt;=A45)),Purchase!$G$1:$G$500)</f>
        <v/>
      </c>
      <c r="G45" s="23">
        <f>+D45*F45</f>
        <v/>
      </c>
    </row>
    <row r="46">
      <c r="A46" s="8" t="n">
        <v>46235</v>
      </c>
      <c r="B46" s="8" t="inlineStr">
        <is>
          <t>Dinner</t>
        </is>
      </c>
      <c r="C46" s="21" t="inlineStr">
        <is>
          <t>CHICKEN</t>
        </is>
      </c>
      <c r="D46" s="22" t="n"/>
      <c r="E46" s="22">
        <f>IFERROR(+VLOOKUP(C46,Master!B:C,2,0),"")</f>
        <v/>
      </c>
      <c r="F46" s="23">
        <f>LOOKUP(2,1/((Purchase!$D$1:$D$500=C46)*(Purchase!$A$1:$A$500&lt;=A46)),Purchase!$G$1:$G$500)</f>
        <v/>
      </c>
      <c r="G46" s="23">
        <f>+D46*F46</f>
        <v/>
      </c>
    </row>
    <row r="47">
      <c r="A47" s="8" t="n">
        <v>46235</v>
      </c>
      <c r="B47" s="8" t="inlineStr">
        <is>
          <t>Dinner</t>
        </is>
      </c>
      <c r="C47" s="21" t="inlineStr">
        <is>
          <t>Aloo</t>
        </is>
      </c>
      <c r="D47" s="22" t="n">
        <v>65</v>
      </c>
      <c r="E47" s="22">
        <f>IFERROR(+VLOOKUP(C47,Master!B:C,2,0),"")</f>
        <v/>
      </c>
      <c r="F47" s="23">
        <f>LOOKUP(2,1/((Purchase!$D$1:$D$500=C47)*(Purchase!$A$1:$A$500&lt;=A47)),Purchase!$G$1:$G$500)</f>
        <v/>
      </c>
      <c r="G47" s="23">
        <f>+D47*F47</f>
        <v/>
      </c>
    </row>
    <row r="48">
      <c r="A48" s="8" t="n">
        <v>46235</v>
      </c>
      <c r="B48" s="8" t="inlineStr">
        <is>
          <t>Dinner</t>
        </is>
      </c>
      <c r="C48" s="21" t="inlineStr">
        <is>
          <t>Galka</t>
        </is>
      </c>
      <c r="D48" s="22" t="n">
        <v>62</v>
      </c>
      <c r="E48" s="22">
        <f>IFERROR(+VLOOKUP(C48,Master!B:C,2,0),"")</f>
        <v/>
      </c>
      <c r="F48" s="23">
        <f>LOOKUP(2,1/((Purchase!$D$1:$D$500=C48)*(Purchase!$A$1:$A$500&lt;=A48)),Purchase!$G$1:$G$500)</f>
        <v/>
      </c>
      <c r="G48" s="23">
        <f>+D48*F48</f>
        <v/>
      </c>
    </row>
    <row r="49">
      <c r="A49" s="8" t="n">
        <v>46235</v>
      </c>
      <c r="B49" s="8" t="inlineStr">
        <is>
          <t>Dinner</t>
        </is>
      </c>
      <c r="C49" s="21" t="inlineStr">
        <is>
          <t>Tomato</t>
        </is>
      </c>
      <c r="D49" s="22" t="n">
        <v>5</v>
      </c>
      <c r="E49" s="22">
        <f>IFERROR(+VLOOKUP(C49,Master!B:C,2,0),"")</f>
        <v/>
      </c>
      <c r="F49" s="23">
        <f>LOOKUP(2,1/((Purchase!$D$1:$D$500=C49)*(Purchase!$A$1:$A$500&lt;=A49)),Purchase!$G$1:$G$500)</f>
        <v/>
      </c>
      <c r="G49" s="23">
        <f>+D49*F49</f>
        <v/>
      </c>
    </row>
    <row r="50">
      <c r="A50" s="8" t="n">
        <v>46235</v>
      </c>
      <c r="B50" s="8" t="inlineStr">
        <is>
          <t>Dinner</t>
        </is>
      </c>
      <c r="C50" s="21" t="inlineStr">
        <is>
          <t>Onion</t>
        </is>
      </c>
      <c r="D50" s="22" t="n">
        <v>30</v>
      </c>
      <c r="E50" s="22">
        <f>IFERROR(+VLOOKUP(C50,Master!B:C,2,0),"")</f>
        <v/>
      </c>
      <c r="F50" s="23">
        <f>LOOKUP(2,1/((Purchase!$D$1:$D$500=C50)*(Purchase!$A$1:$A$500&lt;=A50)),Purchase!$G$1:$G$500)</f>
        <v/>
      </c>
      <c r="G50" s="23">
        <f>+D50*F50</f>
        <v/>
      </c>
    </row>
    <row r="51">
      <c r="A51" s="8" t="n">
        <v>46235</v>
      </c>
      <c r="B51" s="8" t="inlineStr">
        <is>
          <t>Dinner</t>
        </is>
      </c>
      <c r="C51" s="21" t="inlineStr">
        <is>
          <t>Adrak</t>
        </is>
      </c>
      <c r="D51" s="22" t="n">
        <v>2</v>
      </c>
      <c r="E51" s="22">
        <f>IFERROR(+VLOOKUP(C51,Master!B:C,2,0),"")</f>
        <v/>
      </c>
      <c r="F51" s="23">
        <f>LOOKUP(2,1/((Purchase!$D$1:$D$500=C51)*(Purchase!$A$1:$A$500&lt;=A51)),Purchase!$G$1:$G$500)</f>
        <v/>
      </c>
      <c r="G51" s="23">
        <f>+D51*F51</f>
        <v/>
      </c>
    </row>
    <row r="52">
      <c r="A52" s="8" t="n">
        <v>46235</v>
      </c>
      <c r="B52" s="8" t="inlineStr">
        <is>
          <t>Dinner</t>
        </is>
      </c>
      <c r="C52" s="21" t="inlineStr">
        <is>
          <t>Lehsun</t>
        </is>
      </c>
      <c r="D52" s="22" t="n">
        <v>2</v>
      </c>
      <c r="E52" s="22">
        <f>IFERROR(+VLOOKUP(C52,Master!B:C,2,0),"")</f>
        <v/>
      </c>
      <c r="F52" s="23">
        <f>LOOKUP(2,1/((Purchase!$D$1:$D$500=C52)*(Purchase!$A$1:$A$500&lt;=A52)),Purchase!$G$1:$G$500)</f>
        <v/>
      </c>
      <c r="G52" s="23">
        <f>+D52*F52</f>
        <v/>
      </c>
    </row>
    <row r="53">
      <c r="A53" s="8" t="n">
        <v>46235</v>
      </c>
      <c r="B53" s="8" t="inlineStr">
        <is>
          <t>Dinner</t>
        </is>
      </c>
      <c r="C53" t="inlineStr">
        <is>
          <t>Hari Mirch</t>
        </is>
      </c>
      <c r="D53" s="22" t="n">
        <v>500</v>
      </c>
      <c r="E53" s="22">
        <f>IFERROR(+VLOOKUP(C53,Master!B:C,2,0),"")</f>
        <v/>
      </c>
      <c r="F53" s="23">
        <f>LOOKUP(2,1/((Purchase!$D$1:$D$500=C53)*(Purchase!$A$1:$A$500&lt;=A53)),Purchase!$G$1:$G$500)</f>
        <v/>
      </c>
      <c r="G53" s="23">
        <f>+D53*F53</f>
        <v/>
      </c>
    </row>
    <row r="54">
      <c r="A54" s="8" t="n">
        <v>46235</v>
      </c>
      <c r="B54" s="8" t="inlineStr">
        <is>
          <t>Dinner</t>
        </is>
      </c>
      <c r="C54" s="21" t="inlineStr">
        <is>
          <t>MIX VEG</t>
        </is>
      </c>
      <c r="D54" s="22" t="n">
        <v>6</v>
      </c>
      <c r="E54" s="22">
        <f>IFERROR(+VLOOKUP(C54,Master!B:C,2,0),"")</f>
        <v/>
      </c>
      <c r="F54" s="23">
        <f>LOOKUP(2,1/((Purchase!$D$1:$D$500=C54)*(Purchase!$A$1:$A$500&lt;=A54)),Purchase!$G$1:$G$500)</f>
        <v/>
      </c>
      <c r="G54" s="23">
        <f>+D54*F54</f>
        <v/>
      </c>
    </row>
    <row r="55">
      <c r="A55" s="8" t="n"/>
      <c r="B55" s="8" t="n"/>
      <c r="C55" s="21" t="n"/>
      <c r="D55" s="22" t="n"/>
      <c r="E55" s="22">
        <f>IFERROR(+VLOOKUP(C55,Master!B:C,2,0),"")</f>
        <v/>
      </c>
      <c r="F55" s="23">
        <f>LOOKUP(2,1/((Purchase!$D$1:$D$500=C55)*(Purchase!$A$1:$A$500&lt;=A55)),Purchase!$G$1:$G$500)</f>
        <v/>
      </c>
      <c r="G55" s="23">
        <f>+D55*F55</f>
        <v/>
      </c>
    </row>
    <row r="56">
      <c r="A56" s="8" t="n"/>
      <c r="B56" s="8" t="n"/>
      <c r="C56" s="21" t="n"/>
      <c r="D56" s="22" t="n"/>
      <c r="E56" s="22">
        <f>IFERROR(+VLOOKUP(C56,Master!B:C,2,0),"")</f>
        <v/>
      </c>
      <c r="F56" s="23">
        <f>LOOKUP(2,1/((Purchase!$D$1:$D$500=C56)*(Purchase!$A$1:$A$500&lt;=A56)),Purchase!$G$1:$G$500)</f>
        <v/>
      </c>
      <c r="G56" s="23">
        <f>+D56*F56</f>
        <v/>
      </c>
    </row>
    <row r="57">
      <c r="A57" s="8" t="n"/>
      <c r="B57" s="8" t="n"/>
      <c r="C57" s="21" t="n"/>
      <c r="D57" s="22" t="n"/>
      <c r="E57" s="22">
        <f>IFERROR(+VLOOKUP(C57,Master!B:C,2,0),"")</f>
        <v/>
      </c>
      <c r="F57" s="23">
        <f>LOOKUP(2,1/((Purchase!$D$1:$D$500=C57)*(Purchase!$A$1:$A$500&lt;=A57)),Purchase!$G$1:$G$500)</f>
        <v/>
      </c>
      <c r="G57" s="23">
        <f>+D57*F57</f>
        <v/>
      </c>
    </row>
    <row r="58">
      <c r="A58" s="8" t="n"/>
      <c r="B58" s="8" t="n"/>
      <c r="C58" s="21" t="n"/>
      <c r="D58" s="22" t="n"/>
      <c r="E58" s="22">
        <f>IFERROR(+VLOOKUP(C58,Master!B:C,2,0),"")</f>
        <v/>
      </c>
      <c r="F58" s="23">
        <f>LOOKUP(2,1/((Purchase!$D$1:$D$500=C58)*(Purchase!$A$1:$A$500&lt;=A58)),Purchase!$G$1:$G$500)</f>
        <v/>
      </c>
      <c r="G58" s="23">
        <f>+D58*F58</f>
        <v/>
      </c>
    </row>
    <row r="59">
      <c r="A59" s="8" t="n"/>
      <c r="B59" s="8" t="n"/>
      <c r="C59" s="21" t="n"/>
      <c r="D59" s="22" t="n"/>
      <c r="E59" s="22">
        <f>IFERROR(+VLOOKUP(C59,Master!B:C,2,0),"")</f>
        <v/>
      </c>
      <c r="F59" s="23">
        <f>LOOKUP(2,1/((Purchase!$D$1:$D$500=C59)*(Purchase!$A$1:$A$500&lt;=A59)),Purchase!$G$1:$G$500)</f>
        <v/>
      </c>
      <c r="G59" s="23">
        <f>+D59*F59</f>
        <v/>
      </c>
    </row>
    <row r="60">
      <c r="A60" s="8" t="n"/>
      <c r="B60" s="8" t="n"/>
      <c r="C60" s="21" t="n"/>
      <c r="D60" s="22" t="n"/>
      <c r="E60" s="22">
        <f>IFERROR(+VLOOKUP(C60,Master!B:C,2,0),"")</f>
        <v/>
      </c>
      <c r="F60" s="23">
        <f>LOOKUP(2,1/((Purchase!$D$1:$D$500=C60)*(Purchase!$A$1:$A$500&lt;=A60)),Purchase!$G$1:$G$500)</f>
        <v/>
      </c>
      <c r="G60" s="23">
        <f>+D60*F60</f>
        <v/>
      </c>
    </row>
    <row r="61">
      <c r="A61" s="8" t="n"/>
      <c r="B61" s="8" t="n"/>
      <c r="C61" s="21" t="n"/>
      <c r="D61" s="22" t="n"/>
      <c r="E61" s="22">
        <f>IFERROR(+VLOOKUP(C61,Master!B:C,2,0),"")</f>
        <v/>
      </c>
      <c r="F61" s="23">
        <f>LOOKUP(2,1/((Purchase!$D$1:$D$500=C61)*(Purchase!$A$1:$A$500&lt;=A61)),Purchase!$G$1:$G$500)</f>
        <v/>
      </c>
      <c r="G61" s="23">
        <f>+D61*F61</f>
        <v/>
      </c>
    </row>
    <row r="62">
      <c r="A62" s="8" t="n"/>
      <c r="B62" s="8" t="n"/>
      <c r="C62" s="21" t="n"/>
      <c r="D62" s="22" t="n"/>
      <c r="E62" s="22">
        <f>IFERROR(+VLOOKUP(C62,Master!B:C,2,0),"")</f>
        <v/>
      </c>
      <c r="F62" s="23">
        <f>LOOKUP(2,1/((Purchase!$D$1:$D$500=C62)*(Purchase!$A$1:$A$500&lt;=A62)),Purchase!$G$1:$G$500)</f>
        <v/>
      </c>
      <c r="G62" s="23">
        <f>+D62*F62</f>
        <v/>
      </c>
    </row>
    <row r="63">
      <c r="A63" s="8" t="n"/>
      <c r="B63" s="8" t="n"/>
      <c r="C63" s="21" t="n"/>
      <c r="D63" s="22" t="n"/>
      <c r="E63" s="22">
        <f>IFERROR(+VLOOKUP(C63,Master!B:C,2,0),"")</f>
        <v/>
      </c>
      <c r="F63" s="23">
        <f>LOOKUP(2,1/((Purchase!$D$1:$D$500=C63)*(Purchase!$A$1:$A$500&lt;=A63)),Purchase!$G$1:$G$500)</f>
        <v/>
      </c>
      <c r="G63" s="23">
        <f>+D63*F63</f>
        <v/>
      </c>
    </row>
    <row r="64">
      <c r="A64" s="8" t="n"/>
      <c r="B64" s="8" t="n"/>
      <c r="C64" s="21" t="n"/>
      <c r="D64" s="22" t="n"/>
      <c r="E64" s="22">
        <f>IFERROR(+VLOOKUP(C64,Master!B:C,2,0),"")</f>
        <v/>
      </c>
      <c r="F64" s="23">
        <f>LOOKUP(2,1/((Purchase!$D$1:$D$500=C64)*(Purchase!$A$1:$A$500&lt;=A64)),Purchase!$G$1:$G$500)</f>
        <v/>
      </c>
      <c r="G64" s="23">
        <f>+D64*F64</f>
        <v/>
      </c>
    </row>
    <row r="65">
      <c r="A65" s="8" t="n"/>
      <c r="B65" s="8" t="n"/>
      <c r="C65" s="21" t="n"/>
      <c r="D65" s="22" t="n"/>
      <c r="E65" s="22">
        <f>IFERROR(+VLOOKUP(C65,Master!B:C,2,0),"")</f>
        <v/>
      </c>
      <c r="F65" s="23">
        <f>LOOKUP(2,1/((Purchase!$D$1:$D$500=C65)*(Purchase!$A$1:$A$500&lt;=A65)),Purchase!$G$1:$G$500)</f>
        <v/>
      </c>
      <c r="G65" s="23">
        <f>+D65*F65</f>
        <v/>
      </c>
    </row>
    <row r="66">
      <c r="A66" s="8" t="n"/>
      <c r="B66" s="8" t="n"/>
      <c r="C66" s="21" t="n"/>
      <c r="D66" s="22" t="n"/>
      <c r="E66" s="22">
        <f>IFERROR(+VLOOKUP(C66,Master!B:C,2,0),"")</f>
        <v/>
      </c>
      <c r="F66" s="23">
        <f>LOOKUP(2,1/((Purchase!$D$1:$D$500=C66)*(Purchase!$A$1:$A$500&lt;=A66)),Purchase!$G$1:$G$500)</f>
        <v/>
      </c>
      <c r="G66" s="23">
        <f>+D66*F66</f>
        <v/>
      </c>
    </row>
    <row r="67">
      <c r="A67" s="8" t="n"/>
      <c r="B67" s="8" t="n"/>
      <c r="C67" s="21" t="n"/>
      <c r="D67" s="22" t="n"/>
      <c r="E67" s="22">
        <f>IFERROR(+VLOOKUP(C67,Master!B:C,2,0),"")</f>
        <v/>
      </c>
      <c r="F67" s="23">
        <f>LOOKUP(2,1/((Purchase!$D$1:$D$500=C67)*(Purchase!$A$1:$A$500&lt;=A67)),Purchase!$G$1:$G$500)</f>
        <v/>
      </c>
      <c r="G67" s="23">
        <f>+D67*F67</f>
        <v/>
      </c>
    </row>
    <row r="68">
      <c r="A68" s="8" t="n"/>
      <c r="B68" s="8" t="n"/>
      <c r="C68" s="21" t="n"/>
      <c r="D68" s="22" t="n"/>
      <c r="E68" s="22">
        <f>IFERROR(+VLOOKUP(C68,Master!B:C,2,0),"")</f>
        <v/>
      </c>
      <c r="F68" s="23">
        <f>LOOKUP(2,1/((Purchase!$D$1:$D$500=C68)*(Purchase!$A$1:$A$500&lt;=A68)),Purchase!$G$1:$G$500)</f>
        <v/>
      </c>
      <c r="G68" s="23">
        <f>+D68*F68</f>
        <v/>
      </c>
    </row>
    <row r="69">
      <c r="A69" s="8" t="n"/>
      <c r="B69" s="8" t="n"/>
      <c r="C69" s="21" t="n"/>
      <c r="D69" s="22" t="n"/>
      <c r="E69" s="22">
        <f>IFERROR(+VLOOKUP(C69,Master!B:C,2,0),"")</f>
        <v/>
      </c>
      <c r="F69" s="23">
        <f>LOOKUP(2,1/((Purchase!$D$1:$D$500=C69)*(Purchase!$A$1:$A$500&lt;=A69)),Purchase!$G$1:$G$500)</f>
        <v/>
      </c>
      <c r="G69" s="23">
        <f>+D69*F69</f>
        <v/>
      </c>
    </row>
    <row r="70">
      <c r="A70" s="8" t="n"/>
      <c r="B70" s="8" t="n"/>
      <c r="C70" s="21" t="n"/>
      <c r="D70" s="22" t="n"/>
      <c r="E70" s="22">
        <f>IFERROR(+VLOOKUP(C70,Master!B:C,2,0),"")</f>
        <v/>
      </c>
      <c r="F70" s="23">
        <f>LOOKUP(2,1/((Purchase!$D$1:$D$500=C70)*(Purchase!$A$1:$A$500&lt;=A70)),Purchase!$G$1:$G$500)</f>
        <v/>
      </c>
      <c r="G70" s="23">
        <f>+D70*F70</f>
        <v/>
      </c>
    </row>
    <row r="71">
      <c r="A71" s="8" t="n"/>
      <c r="B71" s="8" t="n"/>
      <c r="C71" s="21" t="n"/>
      <c r="D71" s="22" t="n"/>
      <c r="E71" s="22">
        <f>IFERROR(+VLOOKUP(C71,Master!B:C,2,0),"")</f>
        <v/>
      </c>
      <c r="F71" s="23">
        <f>LOOKUP(2,1/((Purchase!$D$1:$D$500=C71)*(Purchase!$A$1:$A$500&lt;=A71)),Purchase!$G$1:$G$500)</f>
        <v/>
      </c>
      <c r="G71" s="23">
        <f>+D71*F71</f>
        <v/>
      </c>
    </row>
    <row r="72">
      <c r="A72" s="8" t="n"/>
      <c r="B72" s="8" t="n"/>
      <c r="C72" s="21" t="n"/>
      <c r="D72" s="22" t="n"/>
      <c r="E72" s="22">
        <f>IFERROR(+VLOOKUP(C72,Master!B:C,2,0),"")</f>
        <v/>
      </c>
      <c r="F72" s="23">
        <f>LOOKUP(2,1/((Purchase!$D$1:$D$500=C72)*(Purchase!$A$1:$A$500&lt;=A72)),Purchase!$G$1:$G$500)</f>
        <v/>
      </c>
      <c r="G72" s="23">
        <f>+D72*F72</f>
        <v/>
      </c>
    </row>
    <row r="73">
      <c r="A73" s="8" t="n"/>
      <c r="B73" s="8" t="n"/>
      <c r="C73" s="21" t="n"/>
      <c r="D73" s="22" t="n"/>
      <c r="E73" s="22">
        <f>IFERROR(+VLOOKUP(C73,Master!B:C,2,0),"")</f>
        <v/>
      </c>
      <c r="F73" s="23">
        <f>LOOKUP(2,1/((Purchase!$D$1:$D$500=C73)*(Purchase!$A$1:$A$500&lt;=A73)),Purchase!$G$1:$G$500)</f>
        <v/>
      </c>
      <c r="G73" s="23">
        <f>+D73*F73</f>
        <v/>
      </c>
    </row>
    <row r="74">
      <c r="A74" s="8" t="n"/>
      <c r="B74" s="8" t="n"/>
      <c r="C74" s="21" t="n"/>
      <c r="D74" s="22" t="n"/>
      <c r="E74" s="22">
        <f>IFERROR(+VLOOKUP(C74,Master!B:C,2,0),"")</f>
        <v/>
      </c>
      <c r="F74" s="23">
        <f>LOOKUP(2,1/((Purchase!$D$1:$D$500=C74)*(Purchase!$A$1:$A$500&lt;=A74)),Purchase!$G$1:$G$500)</f>
        <v/>
      </c>
      <c r="G74" s="23">
        <f>+D74*F74</f>
        <v/>
      </c>
    </row>
    <row r="75">
      <c r="A75" s="8" t="n"/>
      <c r="B75" s="8" t="n"/>
      <c r="C75" s="21" t="n"/>
      <c r="D75" s="22" t="n"/>
      <c r="E75" s="22">
        <f>IFERROR(+VLOOKUP(C75,Master!B:C,2,0),"")</f>
        <v/>
      </c>
      <c r="F75" s="23">
        <f>LOOKUP(2,1/((Purchase!$D$1:$D$500=C75)*(Purchase!$A$1:$A$500&lt;=A75)),Purchase!$G$1:$G$500)</f>
        <v/>
      </c>
      <c r="G75" s="23">
        <f>+D75*F75</f>
        <v/>
      </c>
    </row>
    <row r="76">
      <c r="A76" s="8" t="n"/>
      <c r="B76" s="8" t="n"/>
      <c r="C76" s="21" t="n"/>
      <c r="D76" s="22" t="n"/>
      <c r="E76" s="22">
        <f>IFERROR(+VLOOKUP(C76,Master!B:C,2,0),"")</f>
        <v/>
      </c>
      <c r="F76" s="23">
        <f>LOOKUP(2,1/((Purchase!$D$1:$D$500=C76)*(Purchase!$A$1:$A$500&lt;=A76)),Purchase!$G$1:$G$500)</f>
        <v/>
      </c>
      <c r="G76" s="23">
        <f>+D76*F76</f>
        <v/>
      </c>
    </row>
    <row r="77">
      <c r="A77" s="8" t="n"/>
      <c r="B77" s="8" t="n"/>
      <c r="C77" s="21" t="n"/>
      <c r="D77" s="22" t="n"/>
      <c r="E77" s="22">
        <f>IFERROR(+VLOOKUP(C77,Master!B:C,2,0),"")</f>
        <v/>
      </c>
      <c r="F77" s="23">
        <f>LOOKUP(2,1/((Purchase!$D$1:$D$500=C77)*(Purchase!$A$1:$A$500&lt;=A77)),Purchase!$G$1:$G$500)</f>
        <v/>
      </c>
      <c r="G77" s="23">
        <f>+D77*F77</f>
        <v/>
      </c>
    </row>
    <row r="78">
      <c r="A78" s="8" t="n"/>
      <c r="B78" s="8" t="n"/>
      <c r="C78" s="21" t="n"/>
      <c r="D78" s="22" t="n"/>
      <c r="E78" s="22">
        <f>IFERROR(+VLOOKUP(C78,Master!B:C,2,0),"")</f>
        <v/>
      </c>
      <c r="F78" s="23">
        <f>LOOKUP(2,1/((Purchase!$D$1:$D$500=C78)*(Purchase!$A$1:$A$500&lt;=A78)),Purchase!$G$1:$G$500)</f>
        <v/>
      </c>
      <c r="G78" s="23">
        <f>+D78*F78</f>
        <v/>
      </c>
    </row>
    <row r="79">
      <c r="A79" s="8" t="n"/>
      <c r="B79" s="8" t="n"/>
      <c r="C79" s="21" t="n"/>
      <c r="D79" s="22" t="n"/>
      <c r="E79" s="22">
        <f>IFERROR(+VLOOKUP(C79,Master!B:C,2,0),"")</f>
        <v/>
      </c>
      <c r="F79" s="23">
        <f>LOOKUP(2,1/((Purchase!$D$1:$D$500=C79)*(Purchase!$A$1:$A$500&lt;=A79)),Purchase!$G$1:$G$500)</f>
        <v/>
      </c>
      <c r="G79" s="23">
        <f>+D79*F79</f>
        <v/>
      </c>
    </row>
    <row r="80">
      <c r="A80" s="8" t="n"/>
      <c r="B80" s="8" t="n"/>
      <c r="C80" s="21" t="n"/>
      <c r="D80" s="22" t="n"/>
      <c r="E80" s="22">
        <f>IFERROR(+VLOOKUP(C80,Master!B:C,2,0),"")</f>
        <v/>
      </c>
      <c r="F80" s="23">
        <f>LOOKUP(2,1/((Purchase!$D$1:$D$500=C80)*(Purchase!$A$1:$A$500&lt;=A80)),Purchase!$G$1:$G$500)</f>
        <v/>
      </c>
      <c r="G80" s="23">
        <f>+D80*F80</f>
        <v/>
      </c>
    </row>
    <row r="81">
      <c r="A81" s="8" t="n"/>
      <c r="B81" s="8" t="n"/>
      <c r="C81" s="21" t="n"/>
      <c r="D81" s="22" t="n"/>
      <c r="E81" s="22">
        <f>IFERROR(+VLOOKUP(C81,Master!B:C,2,0),"")</f>
        <v/>
      </c>
      <c r="F81" s="23">
        <f>LOOKUP(2,1/((Purchase!$D$1:$D$500=C81)*(Purchase!$A$1:$A$500&lt;=A81)),Purchase!$G$1:$G$500)</f>
        <v/>
      </c>
      <c r="G81" s="23">
        <f>+D81*F81</f>
        <v/>
      </c>
    </row>
    <row r="82">
      <c r="A82" s="8" t="n"/>
      <c r="B82" s="8" t="n"/>
      <c r="C82" s="21" t="n"/>
      <c r="D82" s="22" t="n"/>
      <c r="E82" s="22">
        <f>IFERROR(+VLOOKUP(C82,Master!B:C,2,0),"")</f>
        <v/>
      </c>
      <c r="F82" s="23">
        <f>LOOKUP(2,1/((Purchase!$D$1:$D$500=C82)*(Purchase!$A$1:$A$500&lt;=A82)),Purchase!$G$1:$G$500)</f>
        <v/>
      </c>
      <c r="G82" s="23">
        <f>+D82*F82</f>
        <v/>
      </c>
    </row>
    <row r="83">
      <c r="A83" s="8" t="n"/>
      <c r="B83" s="8" t="n"/>
      <c r="C83" s="21" t="n"/>
      <c r="D83" s="22" t="n"/>
      <c r="E83" s="22">
        <f>IFERROR(+VLOOKUP(C83,Master!B:C,2,0),"")</f>
        <v/>
      </c>
      <c r="F83" s="23">
        <f>LOOKUP(2,1/((Purchase!$D$1:$D$500=C83)*(Purchase!$A$1:$A$500&lt;=A83)),Purchase!$G$1:$G$500)</f>
        <v/>
      </c>
      <c r="G83" s="23">
        <f>+D83*F83</f>
        <v/>
      </c>
    </row>
    <row r="84">
      <c r="A84" s="8" t="n"/>
      <c r="B84" s="8" t="n"/>
      <c r="C84" s="21" t="n"/>
      <c r="D84" s="22" t="n"/>
      <c r="E84" s="22">
        <f>IFERROR(+VLOOKUP(C84,Master!B:C,2,0),"")</f>
        <v/>
      </c>
      <c r="F84" s="23">
        <f>LOOKUP(2,1/((Purchase!$D$1:$D$500=C84)*(Purchase!$A$1:$A$500&lt;=A84)),Purchase!$G$1:$G$500)</f>
        <v/>
      </c>
      <c r="G84" s="23">
        <f>+D84*F84</f>
        <v/>
      </c>
    </row>
    <row r="85">
      <c r="A85" s="8" t="n"/>
      <c r="B85" s="8" t="n"/>
      <c r="C85" s="21" t="n"/>
      <c r="D85" s="22" t="n"/>
      <c r="E85" s="22">
        <f>IFERROR(+VLOOKUP(C85,Master!B:C,2,0),"")</f>
        <v/>
      </c>
      <c r="F85" s="23">
        <f>LOOKUP(2,1/((Purchase!$D$1:$D$500=C85)*(Purchase!$A$1:$A$500&lt;=A85)),Purchase!$G$1:$G$500)</f>
        <v/>
      </c>
      <c r="G85" s="23">
        <f>+D85*F85</f>
        <v/>
      </c>
    </row>
    <row r="86">
      <c r="A86" s="8" t="n"/>
      <c r="B86" s="8" t="n"/>
      <c r="C86" s="21" t="n"/>
      <c r="D86" s="22" t="n"/>
      <c r="E86" s="22">
        <f>IFERROR(+VLOOKUP(C86,Master!B:C,2,0),"")</f>
        <v/>
      </c>
      <c r="F86" s="23">
        <f>LOOKUP(2,1/((Purchase!$D$1:$D$500=C86)*(Purchase!$A$1:$A$500&lt;=A86)),Purchase!$G$1:$G$500)</f>
        <v/>
      </c>
      <c r="G86" s="23">
        <f>+D86*F86</f>
        <v/>
      </c>
    </row>
    <row r="87">
      <c r="A87" s="8" t="n"/>
      <c r="B87" s="8" t="n"/>
      <c r="C87" s="21" t="n"/>
      <c r="D87" s="22" t="n"/>
      <c r="E87" s="22">
        <f>IFERROR(+VLOOKUP(C87,Master!B:C,2,0),"")</f>
        <v/>
      </c>
      <c r="F87" s="23">
        <f>LOOKUP(2,1/((Purchase!$D$1:$D$500=C87)*(Purchase!$A$1:$A$500&lt;=A87)),Purchase!$G$1:$G$500)</f>
        <v/>
      </c>
      <c r="G87" s="23">
        <f>+D87*F87</f>
        <v/>
      </c>
    </row>
    <row r="88">
      <c r="A88" s="8" t="n"/>
      <c r="B88" s="8" t="n"/>
      <c r="C88" s="21" t="n"/>
      <c r="D88" s="22" t="n"/>
      <c r="E88" s="22">
        <f>IFERROR(+VLOOKUP(C88,Master!B:C,2,0),"")</f>
        <v/>
      </c>
      <c r="F88" s="23">
        <f>LOOKUP(2,1/((Purchase!$D$1:$D$500=C88)*(Purchase!$A$1:$A$500&lt;=A88)),Purchase!$G$1:$G$500)</f>
        <v/>
      </c>
      <c r="G88" s="23">
        <f>+D88*F88</f>
        <v/>
      </c>
    </row>
    <row r="89">
      <c r="A89" s="8" t="n"/>
      <c r="B89" s="8" t="n"/>
      <c r="C89" s="21" t="n"/>
      <c r="D89" s="22" t="n"/>
      <c r="E89" s="22">
        <f>IFERROR(+VLOOKUP(C89,Master!B:C,2,0),"")</f>
        <v/>
      </c>
      <c r="F89" s="23">
        <f>LOOKUP(2,1/((Purchase!$D$1:$D$500=C89)*(Purchase!$A$1:$A$500&lt;=A89)),Purchase!$G$1:$G$500)</f>
        <v/>
      </c>
      <c r="G89" s="23">
        <f>+D89*F89</f>
        <v/>
      </c>
    </row>
    <row r="90">
      <c r="A90" s="8" t="n"/>
      <c r="B90" s="8" t="n"/>
      <c r="C90" s="21" t="n"/>
      <c r="D90" s="22" t="n"/>
      <c r="E90" s="22">
        <f>IFERROR(+VLOOKUP(C90,Master!B:C,2,0),"")</f>
        <v/>
      </c>
      <c r="F90" s="23">
        <f>LOOKUP(2,1/((Purchase!$D$1:$D$500=C90)*(Purchase!$A$1:$A$500&lt;=A90)),Purchase!$G$1:$G$500)</f>
        <v/>
      </c>
      <c r="G90" s="23">
        <f>+D90*F90</f>
        <v/>
      </c>
    </row>
    <row r="91">
      <c r="A91" s="8" t="n"/>
      <c r="B91" s="8" t="n"/>
      <c r="C91" s="21" t="n"/>
      <c r="D91" s="22" t="n"/>
      <c r="E91" s="22">
        <f>IFERROR(+VLOOKUP(C91,Master!B:C,2,0),"")</f>
        <v/>
      </c>
      <c r="F91" s="23">
        <f>LOOKUP(2,1/((Purchase!$D$1:$D$500=C91)*(Purchase!$A$1:$A$500&lt;=A91)),Purchase!$G$1:$G$500)</f>
        <v/>
      </c>
      <c r="G91" s="23">
        <f>+D91*F91</f>
        <v/>
      </c>
    </row>
    <row r="92">
      <c r="A92" s="8" t="n"/>
      <c r="B92" s="8" t="n"/>
      <c r="C92" s="21" t="n"/>
      <c r="D92" s="22" t="n"/>
      <c r="E92" s="22">
        <f>IFERROR(+VLOOKUP(C92,Master!B:C,2,0),"")</f>
        <v/>
      </c>
      <c r="F92" s="23">
        <f>LOOKUP(2,1/((Purchase!$D$1:$D$500=C92)*(Purchase!$A$1:$A$500&lt;=A92)),Purchase!$G$1:$G$500)</f>
        <v/>
      </c>
      <c r="G92" s="23">
        <f>+D92*F92</f>
        <v/>
      </c>
    </row>
    <row r="93">
      <c r="A93" s="8" t="n"/>
      <c r="B93" s="8" t="n"/>
      <c r="C93" s="21" t="n"/>
      <c r="D93" s="22" t="n"/>
      <c r="E93" s="22">
        <f>IFERROR(+VLOOKUP(C93,Master!B:C,2,0),"")</f>
        <v/>
      </c>
      <c r="F93" s="23">
        <f>LOOKUP(2,1/((Purchase!$D$1:$D$500=C93)*(Purchase!$A$1:$A$500&lt;=A93)),Purchase!$G$1:$G$500)</f>
        <v/>
      </c>
      <c r="G93" s="23">
        <f>+D93*F93</f>
        <v/>
      </c>
    </row>
    <row r="94">
      <c r="A94" s="8" t="n"/>
      <c r="B94" s="8" t="n"/>
      <c r="C94" s="21" t="n"/>
      <c r="D94" s="22" t="n"/>
      <c r="E94" s="22">
        <f>IFERROR(+VLOOKUP(C94,Master!B:C,2,0),"")</f>
        <v/>
      </c>
      <c r="F94" s="23">
        <f>LOOKUP(2,1/((Purchase!$D$1:$D$500=C94)*(Purchase!$A$1:$A$500&lt;=A94)),Purchase!$G$1:$G$500)</f>
        <v/>
      </c>
      <c r="G94" s="23">
        <f>+D94*F94</f>
        <v/>
      </c>
    </row>
    <row r="95">
      <c r="A95" s="8" t="n"/>
      <c r="B95" s="8" t="n"/>
      <c r="C95" s="21" t="n"/>
      <c r="D95" s="22" t="n"/>
      <c r="E95" s="22">
        <f>IFERROR(+VLOOKUP(C95,Master!B:C,2,0),"")</f>
        <v/>
      </c>
      <c r="F95" s="23">
        <f>LOOKUP(2,1/((Purchase!$D$1:$D$500=C95)*(Purchase!$A$1:$A$500&lt;=A95)),Purchase!$G$1:$G$500)</f>
        <v/>
      </c>
      <c r="G95" s="23">
        <f>+D95*F95</f>
        <v/>
      </c>
    </row>
    <row r="96">
      <c r="A96" s="8" t="n"/>
      <c r="B96" s="8" t="n"/>
      <c r="C96" s="21" t="n"/>
      <c r="D96" s="22" t="n"/>
      <c r="E96" s="22">
        <f>IFERROR(+VLOOKUP(C96,Master!B:C,2,0),"")</f>
        <v/>
      </c>
      <c r="F96" s="23">
        <f>LOOKUP(2,1/((Purchase!$D$1:$D$500=C96)*(Purchase!$A$1:$A$500&lt;=A96)),Purchase!$G$1:$G$500)</f>
        <v/>
      </c>
      <c r="G96" s="23">
        <f>+D96*F96</f>
        <v/>
      </c>
    </row>
    <row r="97">
      <c r="A97" s="8" t="n"/>
      <c r="B97" s="8" t="n"/>
      <c r="C97" s="21" t="n"/>
      <c r="D97" s="22" t="n"/>
      <c r="E97" s="22">
        <f>IFERROR(+VLOOKUP(C97,Master!B:C,2,0),"")</f>
        <v/>
      </c>
      <c r="F97" s="23">
        <f>LOOKUP(2,1/((Purchase!$D$1:$D$500=C97)*(Purchase!$A$1:$A$500&lt;=A97)),Purchase!$G$1:$G$500)</f>
        <v/>
      </c>
      <c r="G97" s="23">
        <f>+D97*F97</f>
        <v/>
      </c>
    </row>
    <row r="98">
      <c r="A98" s="8" t="n"/>
      <c r="B98" s="8" t="n"/>
      <c r="C98" s="21" t="n"/>
      <c r="D98" s="22" t="n"/>
      <c r="E98" s="22">
        <f>IFERROR(+VLOOKUP(C98,Master!B:C,2,0),"")</f>
        <v/>
      </c>
      <c r="F98" s="23">
        <f>LOOKUP(2,1/((Purchase!$D$1:$D$500=C98)*(Purchase!$A$1:$A$500&lt;=A98)),Purchase!$G$1:$G$500)</f>
        <v/>
      </c>
      <c r="G98" s="23">
        <f>+D98*F98</f>
        <v/>
      </c>
    </row>
    <row r="99">
      <c r="A99" s="8" t="n"/>
      <c r="B99" s="8" t="n"/>
      <c r="C99" s="21" t="n"/>
      <c r="D99" s="22" t="n"/>
      <c r="E99" s="22">
        <f>IFERROR(+VLOOKUP(C99,Master!B:C,2,0),"")</f>
        <v/>
      </c>
      <c r="F99" s="23">
        <f>LOOKUP(2,1/((Purchase!$D$1:$D$500=C99)*(Purchase!$A$1:$A$500&lt;=A99)),Purchase!$G$1:$G$500)</f>
        <v/>
      </c>
      <c r="G99" s="23">
        <f>+D99*F99</f>
        <v/>
      </c>
    </row>
    <row r="100">
      <c r="A100" s="8" t="n"/>
      <c r="B100" s="8" t="n"/>
      <c r="C100" s="21" t="n"/>
      <c r="D100" s="22" t="n"/>
      <c r="E100" s="22">
        <f>IFERROR(+VLOOKUP(C100,Master!B:C,2,0),"")</f>
        <v/>
      </c>
      <c r="F100" s="23">
        <f>LOOKUP(2,1/((Purchase!$D$1:$D$500=C100)*(Purchase!$A$1:$A$500&lt;=A100)),Purchase!$G$1:$G$500)</f>
        <v/>
      </c>
      <c r="G100" s="23">
        <f>+D100*F100</f>
        <v/>
      </c>
    </row>
    <row r="101">
      <c r="A101" s="8" t="n"/>
      <c r="B101" s="8" t="n"/>
      <c r="C101" s="21" t="n"/>
      <c r="D101" s="22" t="n"/>
      <c r="E101" s="22">
        <f>IFERROR(+VLOOKUP(C101,Master!B:C,2,0),"")</f>
        <v/>
      </c>
      <c r="F101" s="23">
        <f>LOOKUP(2,1/((Purchase!$D$1:$D$500=C101)*(Purchase!$A$1:$A$500&lt;=A101)),Purchase!$G$1:$G$500)</f>
        <v/>
      </c>
      <c r="G101" s="23">
        <f>+D101*F101</f>
        <v/>
      </c>
    </row>
    <row r="102">
      <c r="A102" s="8" t="n"/>
      <c r="B102" s="8" t="n"/>
      <c r="C102" s="21" t="n"/>
      <c r="D102" s="22" t="n"/>
      <c r="E102" s="22">
        <f>IFERROR(+VLOOKUP(C102,Master!B:C,2,0),"")</f>
        <v/>
      </c>
      <c r="F102" s="23">
        <f>LOOKUP(2,1/((Purchase!$D$1:$D$500=C102)*(Purchase!$A$1:$A$500&lt;=A102)),Purchase!$G$1:$G$500)</f>
        <v/>
      </c>
      <c r="G102" s="23">
        <f>+D102*F102</f>
        <v/>
      </c>
    </row>
    <row r="103">
      <c r="A103" s="8" t="n"/>
      <c r="B103" s="8" t="n"/>
      <c r="C103" s="21" t="n"/>
      <c r="D103" s="22" t="n"/>
      <c r="E103" s="22">
        <f>IFERROR(+VLOOKUP(C103,Master!B:C,2,0),"")</f>
        <v/>
      </c>
      <c r="F103" s="23">
        <f>LOOKUP(2,1/((Purchase!$D$1:$D$500=C103)*(Purchase!$A$1:$A$500&lt;=A103)),Purchase!$G$1:$G$500)</f>
        <v/>
      </c>
      <c r="G103" s="23">
        <f>+D103*F103</f>
        <v/>
      </c>
    </row>
    <row r="104">
      <c r="A104" s="8" t="n"/>
      <c r="B104" s="8" t="n"/>
      <c r="C104" s="21" t="n"/>
      <c r="D104" s="22" t="n"/>
      <c r="E104" s="22">
        <f>IFERROR(+VLOOKUP(C104,Master!B:C,2,0),"")</f>
        <v/>
      </c>
      <c r="F104" s="23">
        <f>LOOKUP(2,1/((Purchase!$D$1:$D$500=C104)*(Purchase!$A$1:$A$500&lt;=A104)),Purchase!$G$1:$G$500)</f>
        <v/>
      </c>
      <c r="G104" s="23">
        <f>+D104*F104</f>
        <v/>
      </c>
    </row>
    <row r="105">
      <c r="A105" s="8" t="n"/>
      <c r="B105" s="8" t="n"/>
      <c r="C105" s="21" t="n"/>
      <c r="D105" s="22" t="n"/>
      <c r="E105" s="22">
        <f>IFERROR(+VLOOKUP(C105,Master!B:C,2,0),"")</f>
        <v/>
      </c>
      <c r="F105" s="23">
        <f>LOOKUP(2,1/((Purchase!$D$1:$D$500=C105)*(Purchase!$A$1:$A$500&lt;=A105)),Purchase!$G$1:$G$500)</f>
        <v/>
      </c>
      <c r="G105" s="23">
        <f>+D105*F105</f>
        <v/>
      </c>
    </row>
    <row r="106">
      <c r="A106" s="8" t="n"/>
      <c r="B106" s="8" t="n"/>
      <c r="C106" s="21" t="n"/>
      <c r="D106" s="22" t="n"/>
      <c r="E106" s="22">
        <f>IFERROR(+VLOOKUP(C106,Master!B:C,2,0),"")</f>
        <v/>
      </c>
      <c r="F106" s="23">
        <f>LOOKUP(2,1/((Purchase!$D$1:$D$500=C106)*(Purchase!$A$1:$A$500&lt;=A106)),Purchase!$G$1:$G$500)</f>
        <v/>
      </c>
      <c r="G106" s="23">
        <f>+D106*F106</f>
        <v/>
      </c>
    </row>
    <row r="107">
      <c r="A107" s="8" t="n"/>
      <c r="B107" s="8" t="n"/>
      <c r="C107" s="21" t="n"/>
      <c r="D107" s="22" t="n"/>
      <c r="E107" s="22">
        <f>IFERROR(+VLOOKUP(C107,Master!B:C,2,0),"")</f>
        <v/>
      </c>
      <c r="F107" s="23">
        <f>LOOKUP(2,1/((Purchase!$D$1:$D$500=C107)*(Purchase!$A$1:$A$500&lt;=A107)),Purchase!$G$1:$G$500)</f>
        <v/>
      </c>
      <c r="G107" s="23">
        <f>+D107*F107</f>
        <v/>
      </c>
    </row>
    <row r="108">
      <c r="A108" s="8" t="n"/>
      <c r="B108" s="8" t="n"/>
      <c r="C108" s="21" t="n"/>
      <c r="D108" s="22" t="n"/>
      <c r="E108" s="22">
        <f>IFERROR(+VLOOKUP(C108,Master!B:C,2,0),"")</f>
        <v/>
      </c>
      <c r="F108" s="23">
        <f>LOOKUP(2,1/((Purchase!$D$1:$D$500=C108)*(Purchase!$A$1:$A$500&lt;=A108)),Purchase!$G$1:$G$500)</f>
        <v/>
      </c>
      <c r="G108" s="23">
        <f>+D108*F108</f>
        <v/>
      </c>
    </row>
    <row r="109">
      <c r="A109" s="8" t="n"/>
      <c r="B109" s="8" t="n"/>
      <c r="C109" s="21" t="n"/>
      <c r="D109" s="22" t="n"/>
      <c r="E109" s="22">
        <f>IFERROR(+VLOOKUP(C109,Master!B:C,2,0),"")</f>
        <v/>
      </c>
      <c r="F109" s="23">
        <f>LOOKUP(2,1/((Purchase!$D$1:$D$500=C109)*(Purchase!$A$1:$A$500&lt;=A109)),Purchase!$G$1:$G$500)</f>
        <v/>
      </c>
      <c r="G109" s="23">
        <f>+D109*F109</f>
        <v/>
      </c>
    </row>
    <row r="110">
      <c r="A110" s="8" t="n"/>
      <c r="B110" s="8" t="n"/>
      <c r="C110" s="21" t="n"/>
      <c r="D110" s="22" t="n"/>
      <c r="E110" s="22">
        <f>IFERROR(+VLOOKUP(C110,Master!B:C,2,0),"")</f>
        <v/>
      </c>
      <c r="F110" s="23">
        <f>LOOKUP(2,1/((Purchase!$D$1:$D$500=C110)*(Purchase!$A$1:$A$500&lt;=A110)),Purchase!$G$1:$G$500)</f>
        <v/>
      </c>
      <c r="G110" s="23">
        <f>+D110*F110</f>
        <v/>
      </c>
    </row>
    <row r="111">
      <c r="A111" s="8" t="n"/>
      <c r="B111" s="8" t="n"/>
      <c r="C111" s="21" t="n"/>
      <c r="D111" s="22" t="n"/>
      <c r="E111" s="22">
        <f>IFERROR(+VLOOKUP(C111,Master!B:C,2,0),"")</f>
        <v/>
      </c>
      <c r="F111" s="23">
        <f>LOOKUP(2,1/((Purchase!$D$1:$D$500=C111)*(Purchase!$A$1:$A$500&lt;=A111)),Purchase!$G$1:$G$500)</f>
        <v/>
      </c>
      <c r="G111" s="23">
        <f>+D111*F111</f>
        <v/>
      </c>
    </row>
    <row r="112">
      <c r="A112" s="8" t="n"/>
      <c r="B112" s="8" t="n"/>
      <c r="C112" s="21" t="n"/>
      <c r="D112" s="22" t="n"/>
      <c r="E112" s="22">
        <f>IFERROR(+VLOOKUP(C112,Master!B:C,2,0),"")</f>
        <v/>
      </c>
      <c r="F112" s="23">
        <f>LOOKUP(2,1/((Purchase!$D$1:$D$500=C112)*(Purchase!$A$1:$A$500&lt;=A112)),Purchase!$G$1:$G$500)</f>
        <v/>
      </c>
      <c r="G112" s="23">
        <f>+D112*F112</f>
        <v/>
      </c>
    </row>
    <row r="113">
      <c r="A113" s="8" t="n"/>
      <c r="B113" s="8" t="n"/>
      <c r="C113" s="21" t="n"/>
      <c r="D113" s="22" t="n"/>
      <c r="E113" s="22">
        <f>IFERROR(+VLOOKUP(C113,Master!B:C,2,0),"")</f>
        <v/>
      </c>
      <c r="F113" s="23">
        <f>LOOKUP(2,1/((Purchase!$D$1:$D$500=C113)*(Purchase!$A$1:$A$500&lt;=A113)),Purchase!$G$1:$G$500)</f>
        <v/>
      </c>
      <c r="G113" s="23">
        <f>+D113*F113</f>
        <v/>
      </c>
    </row>
    <row r="114">
      <c r="A114" s="8" t="n"/>
      <c r="B114" s="8" t="n"/>
      <c r="C114" s="21" t="n"/>
      <c r="D114" s="22" t="n"/>
      <c r="E114" s="22">
        <f>IFERROR(+VLOOKUP(C114,Master!B:C,2,0),"")</f>
        <v/>
      </c>
      <c r="F114" s="23">
        <f>LOOKUP(2,1/((Purchase!$D$1:$D$500=C114)*(Purchase!$A$1:$A$500&lt;=A114)),Purchase!$G$1:$G$500)</f>
        <v/>
      </c>
      <c r="G114" s="23">
        <f>+D114*F114</f>
        <v/>
      </c>
    </row>
    <row r="115">
      <c r="A115" s="8" t="n"/>
      <c r="B115" s="8" t="n"/>
      <c r="C115" s="21" t="n"/>
      <c r="D115" s="22" t="n"/>
      <c r="E115" s="22">
        <f>IFERROR(+VLOOKUP(C115,Master!B:C,2,0),"")</f>
        <v/>
      </c>
      <c r="F115" s="23">
        <f>LOOKUP(2,1/((Purchase!$D$1:$D$500=C115)*(Purchase!$A$1:$A$500&lt;=A115)),Purchase!$G$1:$G$500)</f>
        <v/>
      </c>
      <c r="G115" s="23">
        <f>+D115*F115</f>
        <v/>
      </c>
    </row>
    <row r="116">
      <c r="A116" s="8" t="n"/>
      <c r="B116" s="8" t="n"/>
      <c r="C116" s="21" t="n"/>
      <c r="D116" s="22" t="n"/>
      <c r="E116" s="22">
        <f>IFERROR(+VLOOKUP(C116,Master!B:C,2,0),"")</f>
        <v/>
      </c>
      <c r="F116" s="23">
        <f>LOOKUP(2,1/((Purchase!$D$1:$D$500=C116)*(Purchase!$A$1:$A$500&lt;=A116)),Purchase!$G$1:$G$500)</f>
        <v/>
      </c>
      <c r="G116" s="23">
        <f>+D116*F116</f>
        <v/>
      </c>
    </row>
    <row r="117">
      <c r="A117" s="8" t="n"/>
      <c r="B117" s="8" t="n"/>
      <c r="C117" s="21" t="n"/>
      <c r="D117" s="22" t="n"/>
      <c r="E117" s="22">
        <f>IFERROR(+VLOOKUP(C117,Master!B:C,2,0),"")</f>
        <v/>
      </c>
      <c r="F117" s="23">
        <f>LOOKUP(2,1/((Purchase!$D$1:$D$500=C117)*(Purchase!$A$1:$A$500&lt;=A117)),Purchase!$G$1:$G$500)</f>
        <v/>
      </c>
      <c r="G117" s="23">
        <f>+D117*F117</f>
        <v/>
      </c>
    </row>
    <row r="118">
      <c r="A118" s="8" t="n"/>
      <c r="B118" s="8" t="n"/>
      <c r="C118" s="21" t="n"/>
      <c r="D118" s="22" t="n"/>
      <c r="E118" s="22">
        <f>IFERROR(+VLOOKUP(C118,Master!B:C,2,0),"")</f>
        <v/>
      </c>
      <c r="F118" s="23">
        <f>LOOKUP(2,1/((Purchase!$D$1:$D$500=C118)*(Purchase!$A$1:$A$500&lt;=A118)),Purchase!$G$1:$G$500)</f>
        <v/>
      </c>
      <c r="G118" s="23">
        <f>+D118*F118</f>
        <v/>
      </c>
    </row>
    <row r="119">
      <c r="A119" s="8" t="n"/>
      <c r="B119" s="8" t="n"/>
      <c r="C119" s="21" t="n"/>
      <c r="D119" s="22" t="n"/>
      <c r="E119" s="22">
        <f>IFERROR(+VLOOKUP(C119,Master!B:C,2,0),"")</f>
        <v/>
      </c>
      <c r="F119" s="23">
        <f>LOOKUP(2,1/((Purchase!$D$1:$D$500=C119)*(Purchase!$A$1:$A$500&lt;=A119)),Purchase!$G$1:$G$500)</f>
        <v/>
      </c>
      <c r="G119" s="23">
        <f>+D119*F119</f>
        <v/>
      </c>
    </row>
    <row r="120">
      <c r="A120" s="8" t="n"/>
      <c r="B120" s="8" t="n"/>
      <c r="C120" s="21" t="n"/>
      <c r="D120" s="22" t="n"/>
      <c r="E120" s="22">
        <f>IFERROR(+VLOOKUP(C120,Master!B:C,2,0),"")</f>
        <v/>
      </c>
      <c r="F120" s="23">
        <f>LOOKUP(2,1/((Purchase!$D$1:$D$500=C120)*(Purchase!$A$1:$A$500&lt;=A120)),Purchase!$G$1:$G$500)</f>
        <v/>
      </c>
      <c r="G120" s="23">
        <f>+D120*F120</f>
        <v/>
      </c>
    </row>
    <row r="121">
      <c r="A121" s="8" t="n"/>
      <c r="B121" s="8" t="n"/>
      <c r="C121" s="21" t="n"/>
      <c r="D121" s="22" t="n"/>
      <c r="E121" s="22">
        <f>IFERROR(+VLOOKUP(C121,Master!B:C,2,0),"")</f>
        <v/>
      </c>
      <c r="F121" s="23">
        <f>LOOKUP(2,1/((Purchase!$D$1:$D$500=C121)*(Purchase!$A$1:$A$500&lt;=A121)),Purchase!$G$1:$G$500)</f>
        <v/>
      </c>
      <c r="G121" s="23">
        <f>+D121*F121</f>
        <v/>
      </c>
    </row>
    <row r="122">
      <c r="A122" s="8" t="n"/>
      <c r="B122" s="8" t="n"/>
      <c r="C122" s="21" t="n"/>
      <c r="D122" s="22" t="n"/>
      <c r="E122" s="22">
        <f>IFERROR(+VLOOKUP(C122,Master!B:C,2,0),"")</f>
        <v/>
      </c>
      <c r="F122" s="23">
        <f>LOOKUP(2,1/((Purchase!$D$1:$D$500=C122)*(Purchase!$A$1:$A$500&lt;=A122)),Purchase!$G$1:$G$500)</f>
        <v/>
      </c>
      <c r="G122" s="23">
        <f>+D122*F122</f>
        <v/>
      </c>
    </row>
    <row r="123">
      <c r="A123" s="8" t="n"/>
      <c r="B123" s="8" t="n"/>
      <c r="C123" s="21" t="n"/>
      <c r="D123" s="22" t="n"/>
      <c r="E123" s="22">
        <f>IFERROR(+VLOOKUP(C123,Master!B:C,2,0),"")</f>
        <v/>
      </c>
      <c r="F123" s="23">
        <f>LOOKUP(2,1/((Purchase!$D$1:$D$500=C123)*(Purchase!$A$1:$A$500&lt;=A123)),Purchase!$G$1:$G$500)</f>
        <v/>
      </c>
      <c r="G123" s="23">
        <f>+D123*F123</f>
        <v/>
      </c>
    </row>
    <row r="124">
      <c r="A124" s="8" t="n"/>
      <c r="B124" s="8" t="n"/>
      <c r="C124" s="21" t="n"/>
      <c r="D124" s="22" t="n"/>
      <c r="E124" s="22">
        <f>IFERROR(+VLOOKUP(C124,Master!B:C,2,0),"")</f>
        <v/>
      </c>
      <c r="F124" s="23">
        <f>LOOKUP(2,1/((Purchase!$D$1:$D$500=C124)*(Purchase!$A$1:$A$500&lt;=A124)),Purchase!$G$1:$G$500)</f>
        <v/>
      </c>
      <c r="G124" s="23">
        <f>+D124*F124</f>
        <v/>
      </c>
    </row>
    <row r="125">
      <c r="A125" s="8" t="n"/>
      <c r="B125" s="8" t="n"/>
      <c r="C125" s="21" t="n"/>
      <c r="D125" s="22" t="n"/>
      <c r="E125" s="22">
        <f>IFERROR(+VLOOKUP(C125,Master!B:C,2,0),"")</f>
        <v/>
      </c>
      <c r="F125" s="23">
        <f>LOOKUP(2,1/((Purchase!$D$1:$D$500=C125)*(Purchase!$A$1:$A$500&lt;=A125)),Purchase!$G$1:$G$500)</f>
        <v/>
      </c>
      <c r="G125" s="23">
        <f>+D125*F125</f>
        <v/>
      </c>
    </row>
    <row r="126">
      <c r="A126" s="8" t="n"/>
      <c r="B126" s="8" t="n"/>
      <c r="C126" s="21" t="n"/>
      <c r="D126" s="22" t="n"/>
      <c r="E126" s="22">
        <f>IFERROR(+VLOOKUP(C126,Master!B:C,2,0),"")</f>
        <v/>
      </c>
      <c r="F126" s="23">
        <f>LOOKUP(2,1/((Purchase!$D$1:$D$500=C126)*(Purchase!$A$1:$A$500&lt;=A126)),Purchase!$G$1:$G$500)</f>
        <v/>
      </c>
      <c r="G126" s="23">
        <f>+D126*F126</f>
        <v/>
      </c>
    </row>
    <row r="127">
      <c r="A127" s="8" t="n"/>
      <c r="B127" s="8" t="n"/>
      <c r="C127" s="21" t="n"/>
      <c r="D127" s="22" t="n"/>
      <c r="E127" s="22">
        <f>IFERROR(+VLOOKUP(C127,Master!B:C,2,0),"")</f>
        <v/>
      </c>
      <c r="F127" s="23">
        <f>LOOKUP(2,1/((Purchase!$D$1:$D$500=C127)*(Purchase!$A$1:$A$500&lt;=A127)),Purchase!$G$1:$G$500)</f>
        <v/>
      </c>
      <c r="G127" s="23">
        <f>+D127*F127</f>
        <v/>
      </c>
    </row>
    <row r="128">
      <c r="A128" s="8" t="n"/>
      <c r="B128" s="8" t="n"/>
      <c r="C128" s="21" t="n"/>
      <c r="D128" s="22" t="n"/>
      <c r="E128" s="22">
        <f>IFERROR(+VLOOKUP(C128,Master!B:C,2,0),"")</f>
        <v/>
      </c>
      <c r="F128" s="23">
        <f>LOOKUP(2,1/((Purchase!$D$1:$D$500=C128)*(Purchase!$A$1:$A$500&lt;=A128)),Purchase!$G$1:$G$500)</f>
        <v/>
      </c>
      <c r="G128" s="23">
        <f>+D128*F128</f>
        <v/>
      </c>
    </row>
    <row r="129">
      <c r="A129" s="8" t="n"/>
      <c r="B129" s="8" t="n"/>
      <c r="C129" s="21" t="n"/>
      <c r="D129" s="22" t="n"/>
      <c r="E129" s="22">
        <f>IFERROR(+VLOOKUP(C129,Master!B:C,2,0),"")</f>
        <v/>
      </c>
      <c r="F129" s="23">
        <f>LOOKUP(2,1/((Purchase!$D$1:$D$500=C129)*(Purchase!$A$1:$A$500&lt;=A129)),Purchase!$G$1:$G$500)</f>
        <v/>
      </c>
      <c r="G129" s="23">
        <f>+D129*F129</f>
        <v/>
      </c>
    </row>
    <row r="130">
      <c r="A130" s="8" t="n"/>
      <c r="B130" s="8" t="n"/>
      <c r="C130" s="21" t="n"/>
      <c r="D130" s="22" t="n"/>
      <c r="E130" s="22">
        <f>IFERROR(+VLOOKUP(C130,Master!B:C,2,0),"")</f>
        <v/>
      </c>
      <c r="F130" s="23">
        <f>LOOKUP(2,1/((Purchase!$D$1:$D$500=C130)*(Purchase!$A$1:$A$500&lt;=A130)),Purchase!$G$1:$G$500)</f>
        <v/>
      </c>
      <c r="G130" s="23">
        <f>+D130*F130</f>
        <v/>
      </c>
    </row>
    <row r="131">
      <c r="A131" s="8" t="n"/>
      <c r="B131" s="8" t="n"/>
      <c r="C131" s="21" t="n"/>
      <c r="D131" s="22" t="n"/>
      <c r="E131" s="22">
        <f>IFERROR(+VLOOKUP(C131,Master!B:C,2,0),"")</f>
        <v/>
      </c>
      <c r="F131" s="23">
        <f>LOOKUP(2,1/((Purchase!$D$1:$D$500=C131)*(Purchase!$A$1:$A$500&lt;=A131)),Purchase!$G$1:$G$500)</f>
        <v/>
      </c>
      <c r="G131" s="23">
        <f>+D131*F131</f>
        <v/>
      </c>
    </row>
    <row r="132">
      <c r="A132" s="8" t="n"/>
      <c r="B132" s="8" t="n"/>
      <c r="C132" s="21" t="n"/>
      <c r="D132" s="22" t="n"/>
      <c r="E132" s="22">
        <f>IFERROR(+VLOOKUP(C132,Master!B:C,2,0),"")</f>
        <v/>
      </c>
      <c r="F132" s="23">
        <f>LOOKUP(2,1/((Purchase!$D$1:$D$500=C132)*(Purchase!$A$1:$A$500&lt;=A132)),Purchase!$G$1:$G$500)</f>
        <v/>
      </c>
      <c r="G132" s="23">
        <f>+D132*F132</f>
        <v/>
      </c>
    </row>
    <row r="133">
      <c r="A133" s="8" t="n"/>
      <c r="B133" s="8" t="n"/>
      <c r="C133" s="21" t="n"/>
      <c r="D133" s="22" t="n"/>
      <c r="E133" s="22">
        <f>IFERROR(+VLOOKUP(C133,Master!B:C,2,0),"")</f>
        <v/>
      </c>
      <c r="F133" s="23">
        <f>LOOKUP(2,1/((Purchase!$D$1:$D$500=C133)*(Purchase!$A$1:$A$500&lt;=A133)),Purchase!$G$1:$G$500)</f>
        <v/>
      </c>
      <c r="G133" s="23">
        <f>+D133*F133</f>
        <v/>
      </c>
    </row>
    <row r="134">
      <c r="A134" s="8" t="n"/>
      <c r="B134" s="8" t="n"/>
      <c r="C134" s="21" t="n"/>
      <c r="D134" s="22" t="n"/>
      <c r="E134" s="22">
        <f>IFERROR(+VLOOKUP(C134,Master!B:C,2,0),"")</f>
        <v/>
      </c>
      <c r="F134" s="23">
        <f>LOOKUP(2,1/((Purchase!$D$1:$D$500=C134)*(Purchase!$A$1:$A$500&lt;=A134)),Purchase!$G$1:$G$500)</f>
        <v/>
      </c>
      <c r="G134" s="23">
        <f>+D134*F134</f>
        <v/>
      </c>
    </row>
    <row r="135">
      <c r="A135" s="8" t="n"/>
      <c r="B135" s="8" t="n"/>
      <c r="C135" s="21" t="n"/>
      <c r="D135" s="22" t="n"/>
      <c r="E135" s="22">
        <f>IFERROR(+VLOOKUP(C135,Master!B:C,2,0),"")</f>
        <v/>
      </c>
      <c r="F135" s="23">
        <f>LOOKUP(2,1/((Purchase!$D$1:$D$500=C135)*(Purchase!$A$1:$A$500&lt;=A135)),Purchase!$G$1:$G$500)</f>
        <v/>
      </c>
      <c r="G135" s="23">
        <f>+D135*F135</f>
        <v/>
      </c>
    </row>
    <row r="136">
      <c r="A136" s="8" t="n"/>
      <c r="B136" s="8" t="n"/>
      <c r="C136" s="21" t="n"/>
      <c r="D136" s="22" t="n"/>
      <c r="E136" s="22">
        <f>IFERROR(+VLOOKUP(C136,Master!B:C,2,0),"")</f>
        <v/>
      </c>
      <c r="F136" s="23">
        <f>LOOKUP(2,1/((Purchase!$D$1:$D$500=C136)*(Purchase!$A$1:$A$500&lt;=A136)),Purchase!$G$1:$G$500)</f>
        <v/>
      </c>
      <c r="G136" s="23">
        <f>+D136*F136</f>
        <v/>
      </c>
    </row>
    <row r="137">
      <c r="A137" s="8" t="n"/>
      <c r="B137" s="8" t="n"/>
      <c r="C137" s="21" t="n"/>
      <c r="D137" s="22" t="n"/>
      <c r="E137" s="22">
        <f>IFERROR(+VLOOKUP(C137,Master!B:C,2,0),"")</f>
        <v/>
      </c>
      <c r="F137" s="23">
        <f>LOOKUP(2,1/((Purchase!$D$1:$D$500=C137)*(Purchase!$A$1:$A$500&lt;=A137)),Purchase!$G$1:$G$500)</f>
        <v/>
      </c>
      <c r="G137" s="23">
        <f>+D137*F137</f>
        <v/>
      </c>
    </row>
    <row r="138">
      <c r="A138" s="8" t="n"/>
      <c r="B138" s="8" t="n"/>
      <c r="C138" s="21" t="n"/>
      <c r="D138" s="22" t="n"/>
      <c r="E138" s="22">
        <f>IFERROR(+VLOOKUP(C138,Master!B:C,2,0),"")</f>
        <v/>
      </c>
      <c r="F138" s="23">
        <f>LOOKUP(2,1/((Purchase!$D$1:$D$500=C138)*(Purchase!$A$1:$A$500&lt;=A138)),Purchase!$G$1:$G$500)</f>
        <v/>
      </c>
      <c r="G138" s="23">
        <f>+D138*F138</f>
        <v/>
      </c>
    </row>
    <row r="139">
      <c r="A139" s="8" t="n"/>
      <c r="B139" s="8" t="n"/>
      <c r="C139" s="21" t="n"/>
      <c r="D139" s="22" t="n"/>
      <c r="E139" s="22">
        <f>IFERROR(+VLOOKUP(C139,Master!B:C,2,0),"")</f>
        <v/>
      </c>
      <c r="F139" s="23">
        <f>LOOKUP(2,1/((Purchase!$D$1:$D$500=C139)*(Purchase!$A$1:$A$500&lt;=A139)),Purchase!$G$1:$G$500)</f>
        <v/>
      </c>
      <c r="G139" s="23">
        <f>+D139*F139</f>
        <v/>
      </c>
    </row>
    <row r="140">
      <c r="A140" s="8" t="n"/>
      <c r="B140" s="8" t="n"/>
      <c r="C140" s="21" t="n"/>
      <c r="D140" s="22" t="n"/>
      <c r="E140" s="22">
        <f>IFERROR(+VLOOKUP(C140,Master!B:C,2,0),"")</f>
        <v/>
      </c>
      <c r="F140" s="23">
        <f>LOOKUP(2,1/((Purchase!$D$1:$D$500=C140)*(Purchase!$A$1:$A$500&lt;=A140)),Purchase!$G$1:$G$500)</f>
        <v/>
      </c>
      <c r="G140" s="23">
        <f>+D140*F140</f>
        <v/>
      </c>
    </row>
    <row r="141">
      <c r="A141" s="8" t="n"/>
      <c r="B141" s="8" t="n"/>
      <c r="C141" s="21" t="n"/>
      <c r="D141" s="22" t="n"/>
      <c r="E141" s="22">
        <f>IFERROR(+VLOOKUP(C141,Master!B:C,2,0),"")</f>
        <v/>
      </c>
      <c r="F141" s="23">
        <f>LOOKUP(2,1/((Purchase!$D$1:$D$500=C141)*(Purchase!$A$1:$A$500&lt;=A141)),Purchase!$G$1:$G$500)</f>
        <v/>
      </c>
      <c r="G141" s="23">
        <f>+D141*F141</f>
        <v/>
      </c>
    </row>
    <row r="142">
      <c r="A142" s="8" t="n"/>
      <c r="B142" s="8" t="n"/>
      <c r="C142" s="21" t="n"/>
      <c r="D142" s="22" t="n"/>
      <c r="E142" s="22">
        <f>IFERROR(+VLOOKUP(C142,Master!B:C,2,0),"")</f>
        <v/>
      </c>
      <c r="F142" s="23">
        <f>LOOKUP(2,1/((Purchase!$D$1:$D$500=C142)*(Purchase!$A$1:$A$500&lt;=A142)),Purchase!$G$1:$G$500)</f>
        <v/>
      </c>
      <c r="G142" s="23">
        <f>+D142*F142</f>
        <v/>
      </c>
    </row>
    <row r="143">
      <c r="A143" s="8" t="n"/>
      <c r="B143" s="8" t="n"/>
      <c r="C143" s="21" t="n"/>
      <c r="D143" s="22" t="n"/>
      <c r="E143" s="22">
        <f>IFERROR(+VLOOKUP(C143,Master!B:C,2,0),"")</f>
        <v/>
      </c>
      <c r="F143" s="23">
        <f>LOOKUP(2,1/((Purchase!$D$1:$D$500=C143)*(Purchase!$A$1:$A$500&lt;=A143)),Purchase!$G$1:$G$500)</f>
        <v/>
      </c>
      <c r="G143" s="23">
        <f>+D143*F143</f>
        <v/>
      </c>
    </row>
    <row r="144">
      <c r="A144" s="8" t="n"/>
      <c r="B144" s="8" t="n"/>
      <c r="C144" s="21" t="n"/>
      <c r="D144" s="22" t="n"/>
      <c r="E144" s="22">
        <f>IFERROR(+VLOOKUP(C144,Master!B:C,2,0),"")</f>
        <v/>
      </c>
      <c r="F144" s="23">
        <f>LOOKUP(2,1/((Purchase!$D$1:$D$500=C144)*(Purchase!$A$1:$A$500&lt;=A144)),Purchase!$G$1:$G$500)</f>
        <v/>
      </c>
      <c r="G144" s="23">
        <f>+D144*F144</f>
        <v/>
      </c>
    </row>
    <row r="145">
      <c r="A145" s="8" t="n"/>
      <c r="B145" s="8" t="n"/>
      <c r="C145" s="21" t="n"/>
      <c r="D145" s="22" t="n"/>
      <c r="E145" s="22">
        <f>IFERROR(+VLOOKUP(C145,Master!B:C,2,0),"")</f>
        <v/>
      </c>
      <c r="F145" s="23">
        <f>LOOKUP(2,1/((Purchase!$D$1:$D$500=C145)*(Purchase!$A$1:$A$500&lt;=A145)),Purchase!$G$1:$G$500)</f>
        <v/>
      </c>
      <c r="G145" s="23">
        <f>+D145*F145</f>
        <v/>
      </c>
    </row>
    <row r="146">
      <c r="A146" s="8" t="n"/>
      <c r="B146" s="8" t="n"/>
      <c r="C146" s="21" t="n"/>
      <c r="D146" s="22" t="n"/>
      <c r="E146" s="22">
        <f>IFERROR(+VLOOKUP(C146,Master!B:C,2,0),"")</f>
        <v/>
      </c>
      <c r="F146" s="23">
        <f>LOOKUP(2,1/((Purchase!$D$1:$D$500=C146)*(Purchase!$A$1:$A$500&lt;=A146)),Purchase!$G$1:$G$500)</f>
        <v/>
      </c>
      <c r="G146" s="23">
        <f>+D146*F146</f>
        <v/>
      </c>
    </row>
    <row r="147">
      <c r="A147" s="8" t="n"/>
      <c r="B147" s="8" t="n"/>
      <c r="C147" s="21" t="n"/>
      <c r="D147" s="22" t="n"/>
      <c r="E147" s="22">
        <f>IFERROR(+VLOOKUP(C147,Master!B:C,2,0),"")</f>
        <v/>
      </c>
      <c r="F147" s="23">
        <f>LOOKUP(2,1/((Purchase!$D$1:$D$500=C147)*(Purchase!$A$1:$A$500&lt;=A147)),Purchase!$G$1:$G$500)</f>
        <v/>
      </c>
      <c r="G147" s="23">
        <f>+D147*F147</f>
        <v/>
      </c>
    </row>
    <row r="148">
      <c r="A148" s="8" t="n"/>
      <c r="B148" s="8" t="n"/>
      <c r="C148" s="21" t="n"/>
      <c r="D148" s="22" t="n"/>
      <c r="E148" s="22">
        <f>IFERROR(+VLOOKUP(C148,Master!B:C,2,0),"")</f>
        <v/>
      </c>
      <c r="F148" s="23">
        <f>LOOKUP(2,1/((Purchase!$D$1:$D$500=C148)*(Purchase!$A$1:$A$500&lt;=A148)),Purchase!$G$1:$G$500)</f>
        <v/>
      </c>
      <c r="G148" s="23">
        <f>+D148*F148</f>
        <v/>
      </c>
    </row>
    <row r="149">
      <c r="A149" s="8" t="n"/>
      <c r="B149" s="8" t="n"/>
      <c r="C149" s="21" t="n"/>
      <c r="D149" s="22" t="n"/>
      <c r="E149" s="22">
        <f>IFERROR(+VLOOKUP(C149,Master!B:C,2,0),"")</f>
        <v/>
      </c>
      <c r="F149" s="23">
        <f>LOOKUP(2,1/((Purchase!$D$1:$D$500=C149)*(Purchase!$A$1:$A$500&lt;=A149)),Purchase!$G$1:$G$500)</f>
        <v/>
      </c>
      <c r="G149" s="23">
        <f>+D149*F149</f>
        <v/>
      </c>
    </row>
    <row r="150">
      <c r="A150" s="8" t="n"/>
      <c r="B150" s="8" t="n"/>
      <c r="C150" s="21" t="n"/>
      <c r="D150" s="22" t="n"/>
      <c r="E150" s="22">
        <f>IFERROR(+VLOOKUP(C150,Master!B:C,2,0),"")</f>
        <v/>
      </c>
      <c r="F150" s="23">
        <f>LOOKUP(2,1/((Purchase!$D$1:$D$500=C150)*(Purchase!$A$1:$A$500&lt;=A150)),Purchase!$G$1:$G$500)</f>
        <v/>
      </c>
      <c r="G150" s="23">
        <f>+D150*F150</f>
        <v/>
      </c>
    </row>
    <row r="151">
      <c r="A151" s="8" t="n"/>
      <c r="B151" s="8" t="n"/>
      <c r="C151" s="21" t="n"/>
      <c r="D151" s="22" t="n"/>
      <c r="E151" s="22">
        <f>IFERROR(+VLOOKUP(C151,Master!B:C,2,0),"")</f>
        <v/>
      </c>
      <c r="F151" s="23">
        <f>LOOKUP(2,1/((Purchase!$D$1:$D$500=C151)*(Purchase!$A$1:$A$500&lt;=A151)),Purchase!$G$1:$G$500)</f>
        <v/>
      </c>
      <c r="G151" s="23">
        <f>+D151*F151</f>
        <v/>
      </c>
    </row>
    <row r="152">
      <c r="A152" s="8" t="n"/>
      <c r="B152" s="8" t="n"/>
      <c r="C152" s="21" t="n"/>
      <c r="D152" s="22" t="n"/>
      <c r="E152" s="22">
        <f>IFERROR(+VLOOKUP(C152,Master!B:C,2,0),"")</f>
        <v/>
      </c>
      <c r="F152" s="23">
        <f>LOOKUP(2,1/((Purchase!$D$1:$D$500=C152)*(Purchase!$A$1:$A$500&lt;=A152)),Purchase!$G$1:$G$500)</f>
        <v/>
      </c>
      <c r="G152" s="23">
        <f>+D152*F152</f>
        <v/>
      </c>
    </row>
    <row r="153">
      <c r="A153" s="8" t="n"/>
      <c r="B153" s="8" t="n"/>
      <c r="C153" s="21" t="n"/>
      <c r="D153" s="22" t="n"/>
      <c r="E153" s="22">
        <f>IFERROR(+VLOOKUP(C153,Master!B:C,2,0),"")</f>
        <v/>
      </c>
      <c r="F153" s="23">
        <f>LOOKUP(2,1/((Purchase!$D$1:$D$500=C153)*(Purchase!$A$1:$A$500&lt;=A153)),Purchase!$G$1:$G$500)</f>
        <v/>
      </c>
      <c r="G153" s="23">
        <f>+D153*F153</f>
        <v/>
      </c>
    </row>
    <row r="154">
      <c r="A154" s="8" t="n"/>
      <c r="B154" s="8" t="n"/>
      <c r="C154" s="21" t="n"/>
      <c r="D154" s="22" t="n"/>
      <c r="E154" s="22">
        <f>IFERROR(+VLOOKUP(C154,Master!B:C,2,0),"")</f>
        <v/>
      </c>
      <c r="F154" s="23">
        <f>LOOKUP(2,1/((Purchase!$D$1:$D$500=C154)*(Purchase!$A$1:$A$500&lt;=A154)),Purchase!$G$1:$G$500)</f>
        <v/>
      </c>
      <c r="G154" s="23">
        <f>+D154*F154</f>
        <v/>
      </c>
    </row>
    <row r="155">
      <c r="A155" s="8" t="n"/>
      <c r="B155" s="8" t="n"/>
      <c r="C155" s="21" t="n"/>
      <c r="D155" s="22" t="n"/>
      <c r="E155" s="22">
        <f>IFERROR(+VLOOKUP(C155,Master!B:C,2,0),"")</f>
        <v/>
      </c>
      <c r="F155" s="23">
        <f>LOOKUP(2,1/((Purchase!$D$1:$D$500=C155)*(Purchase!$A$1:$A$500&lt;=A155)),Purchase!$G$1:$G$500)</f>
        <v/>
      </c>
      <c r="G155" s="23">
        <f>+D155*F155</f>
        <v/>
      </c>
    </row>
    <row r="156">
      <c r="A156" s="8" t="n"/>
      <c r="B156" s="8" t="n"/>
      <c r="C156" s="21" t="n"/>
      <c r="D156" s="22" t="n"/>
      <c r="E156" s="22">
        <f>IFERROR(+VLOOKUP(C156,Master!B:C,2,0),"")</f>
        <v/>
      </c>
      <c r="F156" s="23">
        <f>LOOKUP(2,1/((Purchase!$D$1:$D$500=C156)*(Purchase!$A$1:$A$500&lt;=A156)),Purchase!$G$1:$G$500)</f>
        <v/>
      </c>
      <c r="G156" s="23">
        <f>+D156*F156</f>
        <v/>
      </c>
    </row>
    <row r="157">
      <c r="A157" s="8" t="n"/>
      <c r="B157" s="8" t="n"/>
      <c r="C157" s="21" t="n"/>
      <c r="D157" s="22" t="n"/>
      <c r="E157" s="22">
        <f>IFERROR(+VLOOKUP(C157,Master!B:C,2,0),"")</f>
        <v/>
      </c>
      <c r="F157" s="23">
        <f>LOOKUP(2,1/((Purchase!$D$1:$D$500=C157)*(Purchase!$A$1:$A$500&lt;=A157)),Purchase!$G$1:$G$500)</f>
        <v/>
      </c>
      <c r="G157" s="23">
        <f>+D157*F157</f>
        <v/>
      </c>
    </row>
    <row r="158">
      <c r="A158" s="8" t="n"/>
      <c r="B158" s="8" t="n"/>
      <c r="C158" s="21" t="n"/>
      <c r="D158" s="22" t="n"/>
      <c r="E158" s="22">
        <f>IFERROR(+VLOOKUP(C158,Master!B:C,2,0),"")</f>
        <v/>
      </c>
      <c r="F158" s="23">
        <f>LOOKUP(2,1/((Purchase!$D$1:$D$500=C158)*(Purchase!$A$1:$A$500&lt;=A158)),Purchase!$G$1:$G$500)</f>
        <v/>
      </c>
      <c r="G158" s="23">
        <f>+D158*F158</f>
        <v/>
      </c>
    </row>
    <row r="159">
      <c r="A159" s="8" t="n"/>
      <c r="B159" s="8" t="n"/>
      <c r="C159" s="21" t="n"/>
      <c r="D159" s="22" t="n"/>
      <c r="E159" s="22">
        <f>IFERROR(+VLOOKUP(C159,Master!B:C,2,0),"")</f>
        <v/>
      </c>
      <c r="F159" s="23">
        <f>LOOKUP(2,1/((Purchase!$D$1:$D$500=C159)*(Purchase!$A$1:$A$500&lt;=A159)),Purchase!$G$1:$G$500)</f>
        <v/>
      </c>
      <c r="G159" s="23">
        <f>+D159*F159</f>
        <v/>
      </c>
    </row>
    <row r="160">
      <c r="A160" s="8" t="n"/>
      <c r="B160" s="8" t="n"/>
      <c r="C160" s="21" t="n"/>
      <c r="D160" s="22" t="n"/>
      <c r="E160" s="22">
        <f>IFERROR(+VLOOKUP(C160,Master!B:C,2,0),"")</f>
        <v/>
      </c>
      <c r="F160" s="23">
        <f>LOOKUP(2,1/((Purchase!$D$1:$D$500=C160)*(Purchase!$A$1:$A$500&lt;=A160)),Purchase!$G$1:$G$500)</f>
        <v/>
      </c>
      <c r="G160" s="23">
        <f>+D160*F160</f>
        <v/>
      </c>
    </row>
    <row r="161">
      <c r="A161" s="8" t="n"/>
      <c r="B161" s="8" t="n"/>
      <c r="C161" s="21" t="n"/>
      <c r="D161" s="22" t="n"/>
      <c r="E161" s="22">
        <f>IFERROR(+VLOOKUP(C161,Master!B:C,2,0),"")</f>
        <v/>
      </c>
      <c r="F161" s="23">
        <f>LOOKUP(2,1/((Purchase!$D$1:$D$500=C161)*(Purchase!$A$1:$A$500&lt;=A161)),Purchase!$G$1:$G$500)</f>
        <v/>
      </c>
      <c r="G161" s="23">
        <f>+D161*F161</f>
        <v/>
      </c>
    </row>
    <row r="162">
      <c r="A162" s="8" t="n"/>
      <c r="B162" s="8" t="n"/>
      <c r="C162" s="21" t="n"/>
      <c r="D162" s="22" t="n"/>
      <c r="E162" s="22">
        <f>IFERROR(+VLOOKUP(C162,Master!B:C,2,0),"")</f>
        <v/>
      </c>
      <c r="F162" s="23">
        <f>LOOKUP(2,1/((Purchase!$D$1:$D$500=C162)*(Purchase!$A$1:$A$500&lt;=A162)),Purchase!$G$1:$G$500)</f>
        <v/>
      </c>
      <c r="G162" s="23">
        <f>+D162*F162</f>
        <v/>
      </c>
    </row>
    <row r="163">
      <c r="A163" s="8" t="n"/>
      <c r="B163" s="8" t="n"/>
      <c r="C163" s="21" t="n"/>
      <c r="D163" s="22" t="n"/>
      <c r="E163" s="22">
        <f>IFERROR(+VLOOKUP(C163,Master!B:C,2,0),"")</f>
        <v/>
      </c>
      <c r="F163" s="23">
        <f>LOOKUP(2,1/((Purchase!$D$1:$D$500=C163)*(Purchase!$A$1:$A$500&lt;=A163)),Purchase!$G$1:$G$500)</f>
        <v/>
      </c>
      <c r="G163" s="23">
        <f>+D163*F163</f>
        <v/>
      </c>
    </row>
    <row r="164">
      <c r="A164" s="8" t="n"/>
      <c r="B164" s="8" t="n"/>
      <c r="C164" s="21" t="n"/>
      <c r="D164" s="22" t="n"/>
      <c r="E164" s="22">
        <f>IFERROR(+VLOOKUP(C164,Master!B:C,2,0),"")</f>
        <v/>
      </c>
      <c r="F164" s="23">
        <f>LOOKUP(2,1/((Purchase!$D$1:$D$500=C164)*(Purchase!$A$1:$A$500&lt;=A164)),Purchase!$G$1:$G$500)</f>
        <v/>
      </c>
      <c r="G164" s="23">
        <f>+D164*F164</f>
        <v/>
      </c>
    </row>
    <row r="165">
      <c r="A165" s="8" t="n"/>
      <c r="B165" s="8" t="n"/>
      <c r="C165" s="21" t="n"/>
      <c r="D165" s="22" t="n"/>
      <c r="E165" s="22">
        <f>IFERROR(+VLOOKUP(C165,Master!B:C,2,0),"")</f>
        <v/>
      </c>
      <c r="F165" s="23">
        <f>LOOKUP(2,1/((Purchase!$D$1:$D$500=C165)*(Purchase!$A$1:$A$500&lt;=A165)),Purchase!$G$1:$G$500)</f>
        <v/>
      </c>
      <c r="G165" s="23">
        <f>+D165*F165</f>
        <v/>
      </c>
    </row>
    <row r="166">
      <c r="A166" s="8" t="n"/>
      <c r="B166" s="8" t="n"/>
      <c r="C166" s="21" t="n"/>
      <c r="D166" s="22" t="n"/>
      <c r="E166" s="22">
        <f>IFERROR(+VLOOKUP(C166,Master!B:C,2,0),"")</f>
        <v/>
      </c>
      <c r="F166" s="23">
        <f>LOOKUP(2,1/((Purchase!$D$1:$D$500=C166)*(Purchase!$A$1:$A$500&lt;=A166)),Purchase!$G$1:$G$500)</f>
        <v/>
      </c>
      <c r="G166" s="23">
        <f>+D166*F166</f>
        <v/>
      </c>
    </row>
    <row r="167">
      <c r="A167" s="8" t="n"/>
      <c r="B167" s="8" t="n"/>
      <c r="C167" s="21" t="n"/>
      <c r="D167" s="22" t="n"/>
      <c r="E167" s="22">
        <f>IFERROR(+VLOOKUP(C167,Master!B:C,2,0),"")</f>
        <v/>
      </c>
      <c r="F167" s="23">
        <f>LOOKUP(2,1/((Purchase!$D$1:$D$500=C167)*(Purchase!$A$1:$A$500&lt;=A167)),Purchase!$G$1:$G$500)</f>
        <v/>
      </c>
      <c r="G167" s="23">
        <f>+D167*F167</f>
        <v/>
      </c>
    </row>
    <row r="168">
      <c r="A168" s="8" t="n"/>
      <c r="B168" s="8" t="n"/>
      <c r="C168" s="21" t="n"/>
      <c r="D168" s="22" t="n"/>
      <c r="E168" s="22">
        <f>IFERROR(+VLOOKUP(C168,Master!B:C,2,0),"")</f>
        <v/>
      </c>
      <c r="F168" s="23">
        <f>LOOKUP(2,1/((Purchase!$D$1:$D$500=C168)*(Purchase!$A$1:$A$500&lt;=A168)),Purchase!$G$1:$G$500)</f>
        <v/>
      </c>
      <c r="G168" s="23">
        <f>+D168*F168</f>
        <v/>
      </c>
    </row>
    <row r="169">
      <c r="A169" s="8" t="n"/>
      <c r="B169" s="8" t="n"/>
      <c r="C169" s="21" t="n"/>
      <c r="D169" s="22" t="n"/>
      <c r="E169" s="22">
        <f>IFERROR(+VLOOKUP(C169,Master!B:C,2,0),"")</f>
        <v/>
      </c>
      <c r="F169" s="23">
        <f>LOOKUP(2,1/((Purchase!$D$1:$D$500=C169)*(Purchase!$A$1:$A$500&lt;=A169)),Purchase!$G$1:$G$500)</f>
        <v/>
      </c>
      <c r="G169" s="23">
        <f>+D169*F169</f>
        <v/>
      </c>
    </row>
    <row r="170">
      <c r="A170" s="8" t="n"/>
      <c r="B170" s="8" t="n"/>
      <c r="C170" s="21" t="n"/>
      <c r="D170" s="22" t="n"/>
      <c r="E170" s="22">
        <f>IFERROR(+VLOOKUP(C170,Master!B:C,2,0),"")</f>
        <v/>
      </c>
      <c r="F170" s="23">
        <f>LOOKUP(2,1/((Purchase!$D$1:$D$500=C170)*(Purchase!$A$1:$A$500&lt;=A170)),Purchase!$G$1:$G$500)</f>
        <v/>
      </c>
      <c r="G170" s="23">
        <f>+D170*F170</f>
        <v/>
      </c>
    </row>
    <row r="171">
      <c r="A171" s="8" t="n"/>
      <c r="B171" s="8" t="n"/>
      <c r="C171" s="21" t="n"/>
      <c r="D171" s="22" t="n"/>
      <c r="E171" s="22">
        <f>IFERROR(+VLOOKUP(C171,Master!B:C,2,0),"")</f>
        <v/>
      </c>
      <c r="F171" s="23">
        <f>LOOKUP(2,1/((Purchase!$D$1:$D$500=C171)*(Purchase!$A$1:$A$500&lt;=A171)),Purchase!$G$1:$G$500)</f>
        <v/>
      </c>
      <c r="G171" s="23">
        <f>+D171*F171</f>
        <v/>
      </c>
    </row>
    <row r="172">
      <c r="A172" s="8" t="n"/>
      <c r="B172" s="8" t="n"/>
      <c r="C172" s="21" t="n"/>
      <c r="D172" s="22" t="n"/>
      <c r="E172" s="22">
        <f>IFERROR(+VLOOKUP(C172,Master!B:C,2,0),"")</f>
        <v/>
      </c>
      <c r="F172" s="23">
        <f>LOOKUP(2,1/((Purchase!$D$1:$D$500=C172)*(Purchase!$A$1:$A$500&lt;=A172)),Purchase!$G$1:$G$500)</f>
        <v/>
      </c>
      <c r="G172" s="23">
        <f>+D172*F172</f>
        <v/>
      </c>
    </row>
    <row r="173">
      <c r="A173" s="8" t="n"/>
      <c r="B173" s="8" t="n"/>
      <c r="C173" s="21" t="n"/>
      <c r="D173" s="22" t="n"/>
      <c r="E173" s="22">
        <f>IFERROR(+VLOOKUP(C173,Master!B:C,2,0),"")</f>
        <v/>
      </c>
      <c r="F173" s="23">
        <f>LOOKUP(2,1/((Purchase!$D$1:$D$500=C173)*(Purchase!$A$1:$A$500&lt;=A173)),Purchase!$G$1:$G$500)</f>
        <v/>
      </c>
      <c r="G173" s="23">
        <f>+D173*F173</f>
        <v/>
      </c>
    </row>
    <row r="174">
      <c r="A174" s="8" t="n"/>
      <c r="B174" s="8" t="n"/>
      <c r="C174" s="21" t="n"/>
      <c r="D174" s="22" t="n"/>
      <c r="E174" s="22">
        <f>IFERROR(+VLOOKUP(C174,Master!B:C,2,0),"")</f>
        <v/>
      </c>
      <c r="F174" s="23">
        <f>LOOKUP(2,1/((Purchase!$D$1:$D$500=C174)*(Purchase!$A$1:$A$500&lt;=A174)),Purchase!$G$1:$G$500)</f>
        <v/>
      </c>
      <c r="G174" s="23">
        <f>+D174*F174</f>
        <v/>
      </c>
    </row>
    <row r="175">
      <c r="A175" s="8" t="n"/>
      <c r="B175" s="8" t="n"/>
      <c r="C175" s="21" t="n"/>
      <c r="D175" s="22" t="n"/>
      <c r="E175" s="22">
        <f>IFERROR(+VLOOKUP(C175,Master!B:C,2,0),"")</f>
        <v/>
      </c>
      <c r="F175" s="23">
        <f>LOOKUP(2,1/((Purchase!$D$1:$D$500=C175)*(Purchase!$A$1:$A$500&lt;=A175)),Purchase!$G$1:$G$500)</f>
        <v/>
      </c>
      <c r="G175" s="23">
        <f>+D175*F175</f>
        <v/>
      </c>
    </row>
    <row r="176">
      <c r="A176" s="8" t="n"/>
      <c r="B176" s="8" t="n"/>
      <c r="C176" s="21" t="n"/>
      <c r="D176" s="22" t="n"/>
      <c r="E176" s="22">
        <f>IFERROR(+VLOOKUP(C176,Master!B:C,2,0),"")</f>
        <v/>
      </c>
      <c r="F176" s="23">
        <f>LOOKUP(2,1/((Purchase!$D$1:$D$500=C176)*(Purchase!$A$1:$A$500&lt;=A176)),Purchase!$G$1:$G$500)</f>
        <v/>
      </c>
      <c r="G176" s="23">
        <f>+D176*F176</f>
        <v/>
      </c>
    </row>
    <row r="177">
      <c r="A177" s="8" t="n"/>
      <c r="B177" s="8" t="n"/>
      <c r="C177" s="21" t="n"/>
      <c r="D177" s="22" t="n"/>
      <c r="E177" s="22">
        <f>IFERROR(+VLOOKUP(C177,Master!B:C,2,0),"")</f>
        <v/>
      </c>
      <c r="F177" s="23">
        <f>LOOKUP(2,1/((Purchase!$D$1:$D$500=C177)*(Purchase!$A$1:$A$500&lt;=A177)),Purchase!$G$1:$G$500)</f>
        <v/>
      </c>
      <c r="G177" s="23">
        <f>+D177*F177</f>
        <v/>
      </c>
    </row>
    <row r="178">
      <c r="A178" s="8" t="n"/>
      <c r="B178" s="8" t="n"/>
      <c r="C178" s="21" t="n"/>
      <c r="D178" s="22" t="n"/>
      <c r="E178" s="22">
        <f>IFERROR(+VLOOKUP(C178,Master!B:C,2,0),"")</f>
        <v/>
      </c>
      <c r="F178" s="23">
        <f>LOOKUP(2,1/((Purchase!$D$1:$D$500=C178)*(Purchase!$A$1:$A$500&lt;=A178)),Purchase!$G$1:$G$500)</f>
        <v/>
      </c>
      <c r="G178" s="23">
        <f>+D178*F178</f>
        <v/>
      </c>
    </row>
    <row r="179">
      <c r="A179" s="8" t="n"/>
      <c r="B179" s="8" t="n"/>
      <c r="C179" s="21" t="n"/>
      <c r="D179" s="22" t="n"/>
      <c r="E179" s="22">
        <f>IFERROR(+VLOOKUP(C179,Master!B:C,2,0),"")</f>
        <v/>
      </c>
      <c r="F179" s="23">
        <f>LOOKUP(2,1/((Purchase!$D$1:$D$500=C179)*(Purchase!$A$1:$A$500&lt;=A179)),Purchase!$G$1:$G$500)</f>
        <v/>
      </c>
      <c r="G179" s="23">
        <f>+D179*F179</f>
        <v/>
      </c>
    </row>
    <row r="180">
      <c r="A180" s="8" t="n"/>
      <c r="B180" s="8" t="n"/>
      <c r="C180" s="21" t="n"/>
      <c r="D180" s="22" t="n"/>
      <c r="E180" s="22">
        <f>IFERROR(+VLOOKUP(C180,Master!B:C,2,0),"")</f>
        <v/>
      </c>
      <c r="F180" s="23">
        <f>LOOKUP(2,1/((Purchase!$D$1:$D$500=C180)*(Purchase!$A$1:$A$500&lt;=A180)),Purchase!$G$1:$G$500)</f>
        <v/>
      </c>
      <c r="G180" s="23">
        <f>+D180*F180</f>
        <v/>
      </c>
    </row>
    <row r="181">
      <c r="A181" s="8" t="n"/>
      <c r="B181" s="8" t="n"/>
      <c r="C181" s="21" t="n"/>
      <c r="D181" s="22" t="n"/>
      <c r="E181" s="22">
        <f>IFERROR(+VLOOKUP(C181,Master!B:C,2,0),"")</f>
        <v/>
      </c>
      <c r="F181" s="23">
        <f>LOOKUP(2,1/((Purchase!$D$1:$D$500=C181)*(Purchase!$A$1:$A$500&lt;=A181)),Purchase!$G$1:$G$500)</f>
        <v/>
      </c>
      <c r="G181" s="23">
        <f>+D181*F181</f>
        <v/>
      </c>
    </row>
    <row r="182">
      <c r="A182" s="8" t="n"/>
      <c r="B182" s="8" t="n"/>
      <c r="C182" s="21" t="n"/>
      <c r="D182" s="22" t="n"/>
      <c r="E182" s="22">
        <f>IFERROR(+VLOOKUP(C182,Master!B:C,2,0),"")</f>
        <v/>
      </c>
      <c r="F182" s="23">
        <f>LOOKUP(2,1/((Purchase!$D$1:$D$500=C182)*(Purchase!$A$1:$A$500&lt;=A182)),Purchase!$G$1:$G$500)</f>
        <v/>
      </c>
      <c r="G182" s="23">
        <f>+D182*F182</f>
        <v/>
      </c>
    </row>
    <row r="183">
      <c r="A183" s="8" t="n"/>
      <c r="B183" s="8" t="n"/>
      <c r="C183" s="21" t="n"/>
      <c r="D183" s="22" t="n"/>
      <c r="E183" s="22">
        <f>IFERROR(+VLOOKUP(C183,Master!B:C,2,0),"")</f>
        <v/>
      </c>
      <c r="F183" s="23">
        <f>LOOKUP(2,1/((Purchase!$D$1:$D$500=C183)*(Purchase!$A$1:$A$500&lt;=A183)),Purchase!$G$1:$G$500)</f>
        <v/>
      </c>
      <c r="G183" s="23">
        <f>+D183*F183</f>
        <v/>
      </c>
    </row>
    <row r="184">
      <c r="A184" s="8" t="n"/>
      <c r="B184" s="8" t="n"/>
      <c r="C184" s="21" t="n"/>
      <c r="D184" s="22" t="n"/>
      <c r="E184" s="22">
        <f>IFERROR(+VLOOKUP(C184,Master!B:C,2,0),"")</f>
        <v/>
      </c>
      <c r="F184" s="23">
        <f>LOOKUP(2,1/((Purchase!$D$1:$D$500=C184)*(Purchase!$A$1:$A$500&lt;=A184)),Purchase!$G$1:$G$500)</f>
        <v/>
      </c>
      <c r="G184" s="23">
        <f>+D184*F184</f>
        <v/>
      </c>
    </row>
    <row r="185">
      <c r="A185" s="8" t="n"/>
      <c r="B185" s="8" t="n"/>
      <c r="C185" s="21" t="n"/>
      <c r="D185" s="22" t="n"/>
      <c r="E185" s="22">
        <f>IFERROR(+VLOOKUP(C185,Master!B:C,2,0),"")</f>
        <v/>
      </c>
      <c r="F185" s="23">
        <f>LOOKUP(2,1/((Purchase!$D$1:$D$500=C185)*(Purchase!$A$1:$A$500&lt;=A185)),Purchase!$G$1:$G$500)</f>
        <v/>
      </c>
      <c r="G185" s="23">
        <f>+D185*F185</f>
        <v/>
      </c>
    </row>
    <row r="186">
      <c r="A186" s="8" t="n"/>
      <c r="B186" s="8" t="n"/>
      <c r="C186" s="21" t="n"/>
      <c r="D186" s="22" t="n"/>
      <c r="E186" s="22">
        <f>IFERROR(+VLOOKUP(C186,Master!B:C,2,0),"")</f>
        <v/>
      </c>
      <c r="F186" s="23">
        <f>LOOKUP(2,1/((Purchase!$D$1:$D$500=C186)*(Purchase!$A$1:$A$500&lt;=A186)),Purchase!$G$1:$G$500)</f>
        <v/>
      </c>
      <c r="G186" s="23">
        <f>+D186*F186</f>
        <v/>
      </c>
    </row>
    <row r="187">
      <c r="A187" s="8" t="n"/>
      <c r="B187" s="8" t="n"/>
      <c r="C187" s="21" t="n"/>
      <c r="D187" s="22" t="n"/>
      <c r="E187" s="22">
        <f>IFERROR(+VLOOKUP(C187,Master!B:C,2,0),"")</f>
        <v/>
      </c>
      <c r="F187" s="23">
        <f>LOOKUP(2,1/((Purchase!$D$1:$D$500=C187)*(Purchase!$A$1:$A$500&lt;=A187)),Purchase!$G$1:$G$500)</f>
        <v/>
      </c>
      <c r="G187" s="23">
        <f>+D187*F187</f>
        <v/>
      </c>
    </row>
    <row r="188">
      <c r="A188" s="8" t="n"/>
      <c r="B188" s="8" t="n"/>
      <c r="C188" s="21" t="n"/>
      <c r="D188" s="22" t="n"/>
      <c r="E188" s="22">
        <f>IFERROR(+VLOOKUP(C188,Master!B:C,2,0),"")</f>
        <v/>
      </c>
      <c r="F188" s="23">
        <f>LOOKUP(2,1/((Purchase!$D$1:$D$500=C188)*(Purchase!$A$1:$A$500&lt;=A188)),Purchase!$G$1:$G$500)</f>
        <v/>
      </c>
      <c r="G188" s="23">
        <f>+D188*F188</f>
        <v/>
      </c>
    </row>
    <row r="189">
      <c r="A189" s="8" t="n"/>
      <c r="B189" s="8" t="n"/>
      <c r="C189" s="21" t="n"/>
      <c r="D189" s="22" t="n"/>
      <c r="E189" s="22">
        <f>IFERROR(+VLOOKUP(C189,Master!B:C,2,0),"")</f>
        <v/>
      </c>
      <c r="F189" s="23">
        <f>LOOKUP(2,1/((Purchase!$D$1:$D$500=C189)*(Purchase!$A$1:$A$500&lt;=A189)),Purchase!$G$1:$G$500)</f>
        <v/>
      </c>
      <c r="G189" s="23">
        <f>+D189*F189</f>
        <v/>
      </c>
    </row>
    <row r="190">
      <c r="A190" s="8" t="n"/>
      <c r="B190" s="8" t="n"/>
      <c r="C190" s="21" t="n"/>
      <c r="D190" s="22" t="n"/>
      <c r="E190" s="22">
        <f>IFERROR(+VLOOKUP(C190,Master!B:C,2,0),"")</f>
        <v/>
      </c>
      <c r="F190" s="23">
        <f>LOOKUP(2,1/((Purchase!$D$1:$D$500=C190)*(Purchase!$A$1:$A$500&lt;=A190)),Purchase!$G$1:$G$500)</f>
        <v/>
      </c>
      <c r="G190" s="23">
        <f>+D190*F190</f>
        <v/>
      </c>
    </row>
    <row r="191">
      <c r="A191" s="8" t="n"/>
      <c r="B191" s="8" t="n"/>
      <c r="C191" s="21" t="n"/>
      <c r="D191" s="22" t="n"/>
      <c r="E191" s="22">
        <f>IFERROR(+VLOOKUP(C191,Master!B:C,2,0),"")</f>
        <v/>
      </c>
      <c r="F191" s="23">
        <f>LOOKUP(2,1/((Purchase!$D$1:$D$500=C191)*(Purchase!$A$1:$A$500&lt;=A191)),Purchase!$G$1:$G$500)</f>
        <v/>
      </c>
      <c r="G191" s="23">
        <f>+D191*F191</f>
        <v/>
      </c>
    </row>
    <row r="192">
      <c r="A192" s="8" t="n"/>
      <c r="B192" s="8" t="n"/>
      <c r="C192" s="21" t="n"/>
      <c r="D192" s="22" t="n"/>
      <c r="E192" s="22">
        <f>IFERROR(+VLOOKUP(C192,Master!B:C,2,0),"")</f>
        <v/>
      </c>
      <c r="F192" s="23">
        <f>LOOKUP(2,1/((Purchase!$D$1:$D$500=C192)*(Purchase!$A$1:$A$500&lt;=A192)),Purchase!$G$1:$G$500)</f>
        <v/>
      </c>
      <c r="G192" s="23">
        <f>+D192*F192</f>
        <v/>
      </c>
    </row>
    <row r="193">
      <c r="A193" s="8" t="n"/>
      <c r="B193" s="8" t="n"/>
      <c r="C193" s="21" t="n"/>
      <c r="D193" s="22" t="n"/>
      <c r="E193" s="22">
        <f>IFERROR(+VLOOKUP(C193,Master!B:C,2,0),"")</f>
        <v/>
      </c>
      <c r="F193" s="23">
        <f>LOOKUP(2,1/((Purchase!$D$1:$D$500=C193)*(Purchase!$A$1:$A$500&lt;=A193)),Purchase!$G$1:$G$500)</f>
        <v/>
      </c>
      <c r="G193" s="23">
        <f>+D193*F193</f>
        <v/>
      </c>
    </row>
    <row r="194">
      <c r="A194" s="8" t="n"/>
      <c r="B194" s="8" t="n"/>
      <c r="C194" s="21" t="n"/>
      <c r="D194" s="22" t="n"/>
      <c r="E194" s="22">
        <f>IFERROR(+VLOOKUP(C194,Master!B:C,2,0),"")</f>
        <v/>
      </c>
      <c r="F194" s="23">
        <f>LOOKUP(2,1/((Purchase!$D$1:$D$500=C194)*(Purchase!$A$1:$A$500&lt;=A194)),Purchase!$G$1:$G$500)</f>
        <v/>
      </c>
      <c r="G194" s="23">
        <f>+D194*F194</f>
        <v/>
      </c>
    </row>
    <row r="195">
      <c r="A195" s="8" t="n"/>
      <c r="B195" s="8" t="n"/>
      <c r="C195" s="21" t="n"/>
      <c r="D195" s="22" t="n"/>
      <c r="E195" s="22">
        <f>IFERROR(+VLOOKUP(C195,Master!B:C,2,0),"")</f>
        <v/>
      </c>
      <c r="F195" s="23">
        <f>LOOKUP(2,1/((Purchase!$D$1:$D$500=C195)*(Purchase!$A$1:$A$500&lt;=A195)),Purchase!$G$1:$G$500)</f>
        <v/>
      </c>
      <c r="G195" s="23">
        <f>+D195*F195</f>
        <v/>
      </c>
    </row>
    <row r="196">
      <c r="A196" s="8" t="n"/>
      <c r="B196" s="8" t="n"/>
      <c r="C196" s="21" t="n"/>
      <c r="D196" s="22" t="n"/>
      <c r="E196" s="22">
        <f>IFERROR(+VLOOKUP(C196,Master!B:C,2,0),"")</f>
        <v/>
      </c>
      <c r="F196" s="23">
        <f>LOOKUP(2,1/((Purchase!$D$1:$D$500=C196)*(Purchase!$A$1:$A$500&lt;=A196)),Purchase!$G$1:$G$500)</f>
        <v/>
      </c>
      <c r="G196" s="23">
        <f>+D196*F196</f>
        <v/>
      </c>
    </row>
    <row r="197">
      <c r="A197" s="8" t="n"/>
      <c r="B197" s="8" t="n"/>
      <c r="C197" s="21" t="n"/>
      <c r="D197" s="22" t="n"/>
      <c r="E197" s="22">
        <f>IFERROR(+VLOOKUP(C197,Master!B:C,2,0),"")</f>
        <v/>
      </c>
      <c r="F197" s="23">
        <f>LOOKUP(2,1/((Purchase!$D$1:$D$500=C197)*(Purchase!$A$1:$A$500&lt;=A197)),Purchase!$G$1:$G$500)</f>
        <v/>
      </c>
      <c r="G197" s="23">
        <f>+D197*F197</f>
        <v/>
      </c>
    </row>
    <row r="198">
      <c r="A198" s="8" t="n"/>
      <c r="B198" s="8" t="n"/>
      <c r="C198" s="21" t="n"/>
      <c r="D198" s="22" t="n"/>
      <c r="E198" s="22">
        <f>IFERROR(+VLOOKUP(C198,Master!B:C,2,0),"")</f>
        <v/>
      </c>
      <c r="F198" s="23">
        <f>LOOKUP(2,1/((Purchase!$D$1:$D$500=C198)*(Purchase!$A$1:$A$500&lt;=A198)),Purchase!$G$1:$G$500)</f>
        <v/>
      </c>
      <c r="G198" s="23">
        <f>+D198*F198</f>
        <v/>
      </c>
    </row>
    <row r="199">
      <c r="A199" s="8" t="n"/>
      <c r="B199" s="8" t="n"/>
      <c r="C199" s="21" t="n"/>
      <c r="D199" s="22" t="n"/>
      <c r="E199" s="22">
        <f>IFERROR(+VLOOKUP(C199,Master!B:C,2,0),"")</f>
        <v/>
      </c>
      <c r="F199" s="23">
        <f>LOOKUP(2,1/((Purchase!$D$1:$D$500=C199)*(Purchase!$A$1:$A$500&lt;=A199)),Purchase!$G$1:$G$500)</f>
        <v/>
      </c>
      <c r="G199" s="23">
        <f>+D199*F199</f>
        <v/>
      </c>
    </row>
    <row r="200">
      <c r="A200" s="8" t="n"/>
      <c r="B200" s="8" t="n"/>
      <c r="C200" s="21" t="n"/>
      <c r="D200" s="22" t="n"/>
      <c r="E200" s="22">
        <f>IFERROR(+VLOOKUP(C200,Master!B:C,2,0),"")</f>
        <v/>
      </c>
      <c r="F200" s="23">
        <f>LOOKUP(2,1/((Purchase!$D$1:$D$500=C200)*(Purchase!$A$1:$A$500&lt;=A200)),Purchase!$G$1:$G$500)</f>
        <v/>
      </c>
      <c r="G200" s="23">
        <f>+D200*F200</f>
        <v/>
      </c>
    </row>
    <row r="201">
      <c r="A201" s="8" t="n"/>
      <c r="B201" s="8" t="n"/>
      <c r="C201" s="21" t="n"/>
      <c r="D201" s="22" t="n"/>
      <c r="E201" s="22">
        <f>IFERROR(+VLOOKUP(C201,Master!B:C,2,0),"")</f>
        <v/>
      </c>
      <c r="F201" s="23">
        <f>LOOKUP(2,1/((Purchase!$D$1:$D$500=C201)*(Purchase!$A$1:$A$500&lt;=A201)),Purchase!$G$1:$G$500)</f>
        <v/>
      </c>
      <c r="G201" s="23">
        <f>+D201*F201</f>
        <v/>
      </c>
    </row>
    <row r="202">
      <c r="A202" s="8" t="n"/>
      <c r="B202" s="8" t="n"/>
      <c r="C202" s="21" t="n"/>
      <c r="D202" s="22" t="n"/>
      <c r="E202" s="22">
        <f>IFERROR(+VLOOKUP(C202,Master!B:C,2,0),"")</f>
        <v/>
      </c>
      <c r="F202" s="23">
        <f>LOOKUP(2,1/((Purchase!$D$1:$D$500=C202)*(Purchase!$A$1:$A$500&lt;=A202)),Purchase!$G$1:$G$500)</f>
        <v/>
      </c>
      <c r="G202" s="23">
        <f>+D202*F202</f>
        <v/>
      </c>
    </row>
    <row r="203">
      <c r="A203" s="8" t="n"/>
      <c r="B203" s="8" t="n"/>
      <c r="C203" s="21" t="n"/>
      <c r="D203" s="22" t="n"/>
      <c r="E203" s="22">
        <f>IFERROR(+VLOOKUP(C203,Master!B:C,2,0),"")</f>
        <v/>
      </c>
      <c r="F203" s="23">
        <f>LOOKUP(2,1/((Purchase!$D$1:$D$500=C203)*(Purchase!$A$1:$A$500&lt;=A203)),Purchase!$G$1:$G$500)</f>
        <v/>
      </c>
      <c r="G203" s="23">
        <f>+D203*F203</f>
        <v/>
      </c>
    </row>
    <row r="204">
      <c r="A204" s="8" t="n"/>
      <c r="B204" s="8" t="n"/>
      <c r="C204" s="21" t="n"/>
      <c r="D204" s="22" t="n"/>
      <c r="E204" s="22">
        <f>IFERROR(+VLOOKUP(C204,Master!B:C,2,0),"")</f>
        <v/>
      </c>
      <c r="F204" s="23">
        <f>LOOKUP(2,1/((Purchase!$D$1:$D$500=C204)*(Purchase!$A$1:$A$500&lt;=A204)),Purchase!$G$1:$G$500)</f>
        <v/>
      </c>
      <c r="G204" s="23">
        <f>+D204*F204</f>
        <v/>
      </c>
    </row>
    <row r="205">
      <c r="A205" s="8" t="n"/>
      <c r="B205" s="8" t="n"/>
      <c r="C205" s="21" t="n"/>
      <c r="D205" s="22" t="n"/>
      <c r="E205" s="22">
        <f>IFERROR(+VLOOKUP(C205,Master!B:C,2,0),"")</f>
        <v/>
      </c>
      <c r="F205" s="23">
        <f>LOOKUP(2,1/((Purchase!$D$1:$D$500=C205)*(Purchase!$A$1:$A$500&lt;=A205)),Purchase!$G$1:$G$500)</f>
        <v/>
      </c>
      <c r="G205" s="23">
        <f>+D205*F205</f>
        <v/>
      </c>
    </row>
    <row r="206">
      <c r="A206" s="8" t="n"/>
      <c r="B206" s="8" t="n"/>
      <c r="C206" s="21" t="n"/>
      <c r="D206" s="22" t="n"/>
      <c r="E206" s="22">
        <f>IFERROR(+VLOOKUP(C206,Master!B:C,2,0),"")</f>
        <v/>
      </c>
      <c r="F206" s="23">
        <f>LOOKUP(2,1/((Purchase!$D$1:$D$500=C206)*(Purchase!$A$1:$A$500&lt;=A206)),Purchase!$G$1:$G$500)</f>
        <v/>
      </c>
      <c r="G206" s="23">
        <f>+D206*F206</f>
        <v/>
      </c>
    </row>
    <row r="207">
      <c r="A207" s="8" t="n"/>
      <c r="B207" s="8" t="n"/>
      <c r="C207" s="21" t="n"/>
      <c r="D207" s="22" t="n"/>
      <c r="E207" s="22">
        <f>IFERROR(+VLOOKUP(C207,Master!B:C,2,0),"")</f>
        <v/>
      </c>
      <c r="F207" s="23">
        <f>LOOKUP(2,1/((Purchase!$D$1:$D$500=C207)*(Purchase!$A$1:$A$500&lt;=A207)),Purchase!$G$1:$G$500)</f>
        <v/>
      </c>
      <c r="G207" s="23">
        <f>+D207*F207</f>
        <v/>
      </c>
    </row>
    <row r="208">
      <c r="A208" s="8" t="n"/>
      <c r="B208" s="8" t="n"/>
      <c r="C208" s="21" t="n"/>
      <c r="D208" s="22" t="n"/>
      <c r="E208" s="22">
        <f>IFERROR(+VLOOKUP(C208,Master!B:C,2,0),"")</f>
        <v/>
      </c>
      <c r="F208" s="23">
        <f>LOOKUP(2,1/((Purchase!$D$1:$D$500=C208)*(Purchase!$A$1:$A$500&lt;=A208)),Purchase!$G$1:$G$500)</f>
        <v/>
      </c>
      <c r="G208" s="23">
        <f>+D208*F208</f>
        <v/>
      </c>
    </row>
    <row r="209">
      <c r="A209" s="8" t="n"/>
      <c r="B209" s="8" t="n"/>
      <c r="C209" s="21" t="n"/>
      <c r="D209" s="22" t="n"/>
      <c r="E209" s="22">
        <f>IFERROR(+VLOOKUP(C209,Master!B:C,2,0),"")</f>
        <v/>
      </c>
      <c r="F209" s="23">
        <f>LOOKUP(2,1/((Purchase!$D$1:$D$500=C209)*(Purchase!$A$1:$A$500&lt;=A209)),Purchase!$G$1:$G$500)</f>
        <v/>
      </c>
      <c r="G209" s="23">
        <f>+D209*F209</f>
        <v/>
      </c>
    </row>
    <row r="210">
      <c r="A210" s="8" t="n"/>
      <c r="B210" s="8" t="n"/>
      <c r="C210" s="21" t="n"/>
      <c r="D210" s="22" t="n"/>
      <c r="E210" s="22">
        <f>IFERROR(+VLOOKUP(C210,Master!B:C,2,0),"")</f>
        <v/>
      </c>
      <c r="F210" s="23">
        <f>LOOKUP(2,1/((Purchase!$D$1:$D$500=C210)*(Purchase!$A$1:$A$500&lt;=A210)),Purchase!$G$1:$G$500)</f>
        <v/>
      </c>
      <c r="G210" s="23">
        <f>+D210*F210</f>
        <v/>
      </c>
    </row>
    <row r="211">
      <c r="A211" s="8" t="n"/>
      <c r="B211" s="8" t="n"/>
      <c r="C211" s="21" t="n"/>
      <c r="D211" s="22" t="n"/>
      <c r="E211" s="22">
        <f>IFERROR(+VLOOKUP(C211,Master!B:C,2,0),"")</f>
        <v/>
      </c>
      <c r="F211" s="23">
        <f>LOOKUP(2,1/((Purchase!$D$1:$D$500=C211)*(Purchase!$A$1:$A$500&lt;=A211)),Purchase!$G$1:$G$500)</f>
        <v/>
      </c>
      <c r="G211" s="23">
        <f>+D211*F211</f>
        <v/>
      </c>
    </row>
    <row r="212">
      <c r="A212" s="8" t="n"/>
      <c r="B212" s="8" t="n"/>
      <c r="C212" s="21" t="n"/>
      <c r="D212" s="22" t="n"/>
      <c r="E212" s="22">
        <f>IFERROR(+VLOOKUP(C212,Master!B:C,2,0),"")</f>
        <v/>
      </c>
      <c r="F212" s="23">
        <f>LOOKUP(2,1/((Purchase!$D$1:$D$500=C212)*(Purchase!$A$1:$A$500&lt;=A212)),Purchase!$G$1:$G$500)</f>
        <v/>
      </c>
      <c r="G212" s="23">
        <f>+D212*F212</f>
        <v/>
      </c>
    </row>
    <row r="213">
      <c r="A213" s="8" t="n"/>
      <c r="B213" s="8" t="n"/>
      <c r="C213" s="21" t="n"/>
      <c r="D213" s="22" t="n"/>
      <c r="E213" s="22">
        <f>IFERROR(+VLOOKUP(C213,Master!B:C,2,0),"")</f>
        <v/>
      </c>
      <c r="F213" s="23">
        <f>LOOKUP(2,1/((Purchase!$D$1:$D$500=C213)*(Purchase!$A$1:$A$500&lt;=A213)),Purchase!$G$1:$G$500)</f>
        <v/>
      </c>
      <c r="G213" s="23">
        <f>+D213*F213</f>
        <v/>
      </c>
    </row>
    <row r="214">
      <c r="A214" s="8" t="n"/>
      <c r="B214" s="8" t="n"/>
      <c r="C214" s="21" t="n"/>
      <c r="D214" s="22" t="n"/>
      <c r="E214" s="22">
        <f>IFERROR(+VLOOKUP(C214,Master!B:C,2,0),"")</f>
        <v/>
      </c>
      <c r="F214" s="23">
        <f>LOOKUP(2,1/((Purchase!$D$1:$D$500=C214)*(Purchase!$A$1:$A$500&lt;=A214)),Purchase!$G$1:$G$500)</f>
        <v/>
      </c>
      <c r="G214" s="23">
        <f>+D214*F214</f>
        <v/>
      </c>
    </row>
    <row r="215">
      <c r="A215" s="8" t="n"/>
      <c r="B215" s="8" t="n"/>
      <c r="C215" s="21" t="n"/>
      <c r="D215" s="22" t="n"/>
      <c r="E215" s="22">
        <f>IFERROR(+VLOOKUP(C215,Master!B:C,2,0),"")</f>
        <v/>
      </c>
      <c r="F215" s="23">
        <f>LOOKUP(2,1/((Purchase!$D$1:$D$500=C215)*(Purchase!$A$1:$A$500&lt;=A215)),Purchase!$G$1:$G$500)</f>
        <v/>
      </c>
      <c r="G215" s="23">
        <f>+D215*F215</f>
        <v/>
      </c>
    </row>
    <row r="216">
      <c r="A216" s="8" t="n"/>
      <c r="B216" s="8" t="n"/>
      <c r="C216" s="21" t="n"/>
      <c r="D216" s="22" t="n"/>
      <c r="E216" s="22">
        <f>IFERROR(+VLOOKUP(C216,Master!B:C,2,0),"")</f>
        <v/>
      </c>
      <c r="F216" s="23">
        <f>LOOKUP(2,1/((Purchase!$D$1:$D$500=C216)*(Purchase!$A$1:$A$500&lt;=A216)),Purchase!$G$1:$G$500)</f>
        <v/>
      </c>
      <c r="G216" s="23">
        <f>+D216*F216</f>
        <v/>
      </c>
    </row>
    <row r="217">
      <c r="A217" s="8" t="n"/>
      <c r="B217" s="8" t="n"/>
      <c r="C217" s="21" t="n"/>
      <c r="D217" s="22" t="n"/>
      <c r="E217" s="22">
        <f>IFERROR(+VLOOKUP(C217,Master!B:C,2,0),"")</f>
        <v/>
      </c>
      <c r="F217" s="23">
        <f>LOOKUP(2,1/((Purchase!$D$1:$D$500=C217)*(Purchase!$A$1:$A$500&lt;=A217)),Purchase!$G$1:$G$500)</f>
        <v/>
      </c>
      <c r="G217" s="23">
        <f>+D217*F217</f>
        <v/>
      </c>
    </row>
    <row r="218">
      <c r="A218" s="8" t="n"/>
      <c r="B218" s="8" t="n"/>
      <c r="C218" s="21" t="n"/>
      <c r="D218" s="22" t="n"/>
      <c r="E218" s="22">
        <f>IFERROR(+VLOOKUP(C218,Master!B:C,2,0),"")</f>
        <v/>
      </c>
      <c r="F218" s="23">
        <f>LOOKUP(2,1/((Purchase!$D$1:$D$500=C218)*(Purchase!$A$1:$A$500&lt;=A218)),Purchase!$G$1:$G$500)</f>
        <v/>
      </c>
      <c r="G218" s="23">
        <f>+D218*F218</f>
        <v/>
      </c>
    </row>
    <row r="219">
      <c r="A219" s="8" t="n"/>
      <c r="B219" s="8" t="n"/>
      <c r="C219" s="21" t="n"/>
      <c r="D219" s="22" t="n"/>
      <c r="E219" s="22">
        <f>IFERROR(+VLOOKUP(C219,Master!B:C,2,0),"")</f>
        <v/>
      </c>
      <c r="F219" s="23">
        <f>LOOKUP(2,1/((Purchase!$D$1:$D$500=C219)*(Purchase!$A$1:$A$500&lt;=A219)),Purchase!$G$1:$G$500)</f>
        <v/>
      </c>
      <c r="G219" s="23">
        <f>+D219*F219</f>
        <v/>
      </c>
    </row>
    <row r="220">
      <c r="A220" s="8" t="n"/>
      <c r="B220" s="8" t="n"/>
      <c r="C220" s="21" t="n"/>
      <c r="D220" s="22" t="n"/>
      <c r="E220" s="22">
        <f>IFERROR(+VLOOKUP(C220,Master!B:C,2,0),"")</f>
        <v/>
      </c>
      <c r="F220" s="23">
        <f>LOOKUP(2,1/((Purchase!$D$1:$D$500=C220)*(Purchase!$A$1:$A$500&lt;=A220)),Purchase!$G$1:$G$500)</f>
        <v/>
      </c>
      <c r="G220" s="23">
        <f>+D220*F220</f>
        <v/>
      </c>
    </row>
    <row r="221">
      <c r="A221" s="8" t="n"/>
      <c r="B221" s="8" t="n"/>
      <c r="C221" s="21" t="n"/>
      <c r="D221" s="22" t="n"/>
      <c r="E221" s="22">
        <f>IFERROR(+VLOOKUP(C221,Master!B:C,2,0),"")</f>
        <v/>
      </c>
      <c r="F221" s="23">
        <f>LOOKUP(2,1/((Purchase!$D$1:$D$500=C221)*(Purchase!$A$1:$A$500&lt;=A221)),Purchase!$G$1:$G$500)</f>
        <v/>
      </c>
      <c r="G221" s="23">
        <f>+D221*F221</f>
        <v/>
      </c>
    </row>
    <row r="222">
      <c r="A222" s="8" t="n"/>
      <c r="B222" s="8" t="n"/>
      <c r="C222" s="21" t="n"/>
      <c r="D222" s="22" t="n"/>
      <c r="E222" s="22">
        <f>IFERROR(+VLOOKUP(C222,Master!B:C,2,0),"")</f>
        <v/>
      </c>
      <c r="F222" s="23">
        <f>LOOKUP(2,1/((Purchase!$D$1:$D$500=C222)*(Purchase!$A$1:$A$500&lt;=A222)),Purchase!$G$1:$G$500)</f>
        <v/>
      </c>
      <c r="G222" s="23">
        <f>+D222*F222</f>
        <v/>
      </c>
    </row>
    <row r="223">
      <c r="A223" s="8" t="n"/>
      <c r="B223" s="8" t="n"/>
      <c r="C223" s="21" t="n"/>
      <c r="D223" s="22" t="n"/>
      <c r="E223" s="22">
        <f>IFERROR(+VLOOKUP(C223,Master!B:C,2,0),"")</f>
        <v/>
      </c>
      <c r="F223" s="23">
        <f>LOOKUP(2,1/((Purchase!$D$1:$D$500=C223)*(Purchase!$A$1:$A$500&lt;=A223)),Purchase!$G$1:$G$500)</f>
        <v/>
      </c>
      <c r="G223" s="23">
        <f>+D223*F223</f>
        <v/>
      </c>
    </row>
    <row r="224">
      <c r="A224" s="8" t="n"/>
      <c r="B224" s="8" t="n"/>
      <c r="C224" s="21" t="n"/>
      <c r="D224" s="22" t="n"/>
      <c r="E224" s="22">
        <f>IFERROR(+VLOOKUP(C224,Master!B:C,2,0),"")</f>
        <v/>
      </c>
      <c r="F224" s="23">
        <f>LOOKUP(2,1/((Purchase!$D$1:$D$500=C224)*(Purchase!$A$1:$A$500&lt;=A224)),Purchase!$G$1:$G$500)</f>
        <v/>
      </c>
      <c r="G224" s="23">
        <f>+D224*F224</f>
        <v/>
      </c>
    </row>
    <row r="225">
      <c r="A225" s="8" t="n"/>
      <c r="B225" s="8" t="n"/>
      <c r="C225" s="21" t="n"/>
      <c r="D225" s="22" t="n"/>
      <c r="E225" s="22">
        <f>IFERROR(+VLOOKUP(C225,Master!B:C,2,0),"")</f>
        <v/>
      </c>
      <c r="F225" s="23">
        <f>LOOKUP(2,1/((Purchase!$D$1:$D$500=C225)*(Purchase!$A$1:$A$500&lt;=A225)),Purchase!$G$1:$G$500)</f>
        <v/>
      </c>
      <c r="G225" s="23">
        <f>+D225*F225</f>
        <v/>
      </c>
    </row>
    <row r="226">
      <c r="A226" s="8" t="n"/>
      <c r="B226" s="8" t="n"/>
      <c r="C226" s="21" t="n"/>
      <c r="D226" s="22" t="n"/>
      <c r="E226" s="22">
        <f>IFERROR(+VLOOKUP(C226,Master!B:C,2,0),"")</f>
        <v/>
      </c>
      <c r="F226" s="23">
        <f>LOOKUP(2,1/((Purchase!$D$1:$D$500=C226)*(Purchase!$A$1:$A$500&lt;=A226)),Purchase!$G$1:$G$500)</f>
        <v/>
      </c>
      <c r="G226" s="23">
        <f>+D226*F226</f>
        <v/>
      </c>
    </row>
    <row r="227">
      <c r="A227" s="8" t="n"/>
      <c r="B227" s="8" t="n"/>
      <c r="C227" s="21" t="n"/>
      <c r="D227" s="22" t="n"/>
      <c r="E227" s="22">
        <f>IFERROR(+VLOOKUP(C227,Master!B:C,2,0),"")</f>
        <v/>
      </c>
      <c r="F227" s="23">
        <f>LOOKUP(2,1/((Purchase!$D$1:$D$500=C227)*(Purchase!$A$1:$A$500&lt;=A227)),Purchase!$G$1:$G$500)</f>
        <v/>
      </c>
      <c r="G227" s="23">
        <f>+D227*F227</f>
        <v/>
      </c>
    </row>
    <row r="228">
      <c r="A228" s="8" t="n"/>
      <c r="B228" s="8" t="n"/>
      <c r="C228" s="21" t="n"/>
      <c r="D228" s="22" t="n"/>
      <c r="E228" s="22">
        <f>IFERROR(+VLOOKUP(C228,Master!B:C,2,0),"")</f>
        <v/>
      </c>
      <c r="F228" s="23">
        <f>LOOKUP(2,1/((Purchase!$D$1:$D$500=C228)*(Purchase!$A$1:$A$500&lt;=A228)),Purchase!$G$1:$G$500)</f>
        <v/>
      </c>
      <c r="G228" s="23">
        <f>+D228*F228</f>
        <v/>
      </c>
    </row>
    <row r="229">
      <c r="A229" s="8" t="n"/>
      <c r="B229" s="8" t="n"/>
      <c r="C229" s="21" t="n"/>
      <c r="D229" s="22" t="n"/>
      <c r="E229" s="22">
        <f>IFERROR(+VLOOKUP(C229,Master!B:C,2,0),"")</f>
        <v/>
      </c>
      <c r="F229" s="23">
        <f>LOOKUP(2,1/((Purchase!$D$1:$D$500=C229)*(Purchase!$A$1:$A$500&lt;=A229)),Purchase!$G$1:$G$500)</f>
        <v/>
      </c>
      <c r="G229" s="23">
        <f>+D229*F229</f>
        <v/>
      </c>
    </row>
    <row r="230">
      <c r="A230" s="8" t="n"/>
      <c r="B230" s="8" t="n"/>
      <c r="C230" s="21" t="n"/>
      <c r="D230" s="22" t="n"/>
      <c r="E230" s="22">
        <f>IFERROR(+VLOOKUP(C230,Master!B:C,2,0),"")</f>
        <v/>
      </c>
      <c r="F230" s="23">
        <f>LOOKUP(2,1/((Purchase!$D$1:$D$500=C230)*(Purchase!$A$1:$A$500&lt;=A230)),Purchase!$G$1:$G$500)</f>
        <v/>
      </c>
      <c r="G230" s="23">
        <f>+D230*F230</f>
        <v/>
      </c>
    </row>
    <row r="231">
      <c r="A231" s="8" t="n"/>
      <c r="B231" s="8" t="n"/>
      <c r="C231" s="21" t="n"/>
      <c r="D231" s="22" t="n"/>
      <c r="E231" s="22">
        <f>IFERROR(+VLOOKUP(C231,Master!B:C,2,0),"")</f>
        <v/>
      </c>
      <c r="F231" s="23">
        <f>LOOKUP(2,1/((Purchase!$D$1:$D$500=C231)*(Purchase!$A$1:$A$500&lt;=A231)),Purchase!$G$1:$G$500)</f>
        <v/>
      </c>
      <c r="G231" s="23">
        <f>+D231*F231</f>
        <v/>
      </c>
    </row>
    <row r="232">
      <c r="A232" s="8" t="n"/>
      <c r="B232" s="8" t="n"/>
      <c r="C232" s="21" t="n"/>
      <c r="D232" s="22" t="n"/>
      <c r="E232" s="22">
        <f>IFERROR(+VLOOKUP(C232,Master!B:C,2,0),"")</f>
        <v/>
      </c>
      <c r="F232" s="23">
        <f>LOOKUP(2,1/((Purchase!$D$1:$D$500=C232)*(Purchase!$A$1:$A$500&lt;=A232)),Purchase!$G$1:$G$500)</f>
        <v/>
      </c>
      <c r="G232" s="23">
        <f>+D232*F232</f>
        <v/>
      </c>
    </row>
    <row r="233">
      <c r="A233" s="8" t="n"/>
      <c r="B233" s="8" t="n"/>
      <c r="C233" s="21" t="n"/>
      <c r="D233" s="22" t="n"/>
      <c r="E233" s="22">
        <f>IFERROR(+VLOOKUP(C233,Master!B:C,2,0),"")</f>
        <v/>
      </c>
      <c r="F233" s="23">
        <f>LOOKUP(2,1/((Purchase!$D$1:$D$500=C233)*(Purchase!$A$1:$A$500&lt;=A233)),Purchase!$G$1:$G$500)</f>
        <v/>
      </c>
      <c r="G233" s="23">
        <f>+D233*F233</f>
        <v/>
      </c>
    </row>
    <row r="234">
      <c r="A234" s="8" t="n"/>
      <c r="B234" s="8" t="n"/>
      <c r="C234" s="21" t="n"/>
      <c r="D234" s="22" t="n"/>
      <c r="E234" s="22">
        <f>IFERROR(+VLOOKUP(C234,Master!B:C,2,0),"")</f>
        <v/>
      </c>
      <c r="F234" s="23">
        <f>LOOKUP(2,1/((Purchase!$D$1:$D$500=C234)*(Purchase!$A$1:$A$500&lt;=A234)),Purchase!$G$1:$G$500)</f>
        <v/>
      </c>
      <c r="G234" s="23">
        <f>+D234*F234</f>
        <v/>
      </c>
    </row>
    <row r="235">
      <c r="A235" s="8" t="n"/>
      <c r="B235" s="8" t="n"/>
      <c r="C235" s="21" t="n"/>
      <c r="D235" s="22" t="n"/>
      <c r="E235" s="22">
        <f>IFERROR(+VLOOKUP(C235,Master!B:C,2,0),"")</f>
        <v/>
      </c>
      <c r="F235" s="23">
        <f>LOOKUP(2,1/((Purchase!$D$1:$D$500=C235)*(Purchase!$A$1:$A$500&lt;=A235)),Purchase!$G$1:$G$500)</f>
        <v/>
      </c>
      <c r="G235" s="23">
        <f>+D235*F235</f>
        <v/>
      </c>
    </row>
    <row r="236">
      <c r="A236" s="8" t="n"/>
      <c r="B236" s="8" t="n"/>
      <c r="C236" s="21" t="n"/>
      <c r="D236" s="22" t="n"/>
      <c r="E236" s="22">
        <f>IFERROR(+VLOOKUP(C236,Master!B:C,2,0),"")</f>
        <v/>
      </c>
      <c r="F236" s="23">
        <f>LOOKUP(2,1/((Purchase!$D$1:$D$500=C236)*(Purchase!$A$1:$A$500&lt;=A236)),Purchase!$G$1:$G$500)</f>
        <v/>
      </c>
      <c r="G236" s="23">
        <f>+D236*F236</f>
        <v/>
      </c>
    </row>
    <row r="237">
      <c r="A237" s="8" t="n"/>
      <c r="B237" s="8" t="n"/>
      <c r="C237" s="21" t="n"/>
      <c r="D237" s="22" t="n"/>
      <c r="E237" s="22">
        <f>IFERROR(+VLOOKUP(C237,Master!B:C,2,0),"")</f>
        <v/>
      </c>
      <c r="F237" s="23">
        <f>LOOKUP(2,1/((Purchase!$D$1:$D$500=C237)*(Purchase!$A$1:$A$500&lt;=A237)),Purchase!$G$1:$G$500)</f>
        <v/>
      </c>
      <c r="G237" s="23">
        <f>+D237*F237</f>
        <v/>
      </c>
    </row>
    <row r="238">
      <c r="A238" s="8" t="n"/>
      <c r="B238" s="8" t="n"/>
      <c r="C238" s="21" t="n"/>
      <c r="D238" s="22" t="n"/>
      <c r="E238" s="22">
        <f>IFERROR(+VLOOKUP(C238,Master!B:C,2,0),"")</f>
        <v/>
      </c>
      <c r="F238" s="23">
        <f>LOOKUP(2,1/((Purchase!$D$1:$D$500=C238)*(Purchase!$A$1:$A$500&lt;=A238)),Purchase!$G$1:$G$500)</f>
        <v/>
      </c>
      <c r="G238" s="23">
        <f>+D238*F238</f>
        <v/>
      </c>
    </row>
    <row r="239">
      <c r="A239" s="8" t="n"/>
      <c r="B239" s="8" t="n"/>
      <c r="C239" s="21" t="n"/>
      <c r="D239" s="22" t="n"/>
      <c r="E239" s="22">
        <f>IFERROR(+VLOOKUP(C239,Master!B:C,2,0),"")</f>
        <v/>
      </c>
      <c r="F239" s="23">
        <f>LOOKUP(2,1/((Purchase!$D$1:$D$500=C239)*(Purchase!$A$1:$A$500&lt;=A239)),Purchase!$G$1:$G$500)</f>
        <v/>
      </c>
      <c r="G239" s="23">
        <f>+D239*F239</f>
        <v/>
      </c>
    </row>
    <row r="240">
      <c r="A240" s="8" t="n"/>
      <c r="B240" s="8" t="n"/>
      <c r="C240" s="21" t="n"/>
      <c r="D240" s="22" t="n"/>
      <c r="E240" s="22">
        <f>IFERROR(+VLOOKUP(C240,Master!B:C,2,0),"")</f>
        <v/>
      </c>
      <c r="F240" s="23">
        <f>LOOKUP(2,1/((Purchase!$D$1:$D$500=C240)*(Purchase!$A$1:$A$500&lt;=A240)),Purchase!$G$1:$G$500)</f>
        <v/>
      </c>
      <c r="G240" s="23">
        <f>+D240*F240</f>
        <v/>
      </c>
    </row>
    <row r="241">
      <c r="A241" s="8" t="n"/>
      <c r="B241" s="8" t="n"/>
      <c r="C241" s="21" t="n"/>
      <c r="D241" s="22" t="n"/>
      <c r="E241" s="22">
        <f>IFERROR(+VLOOKUP(C241,Master!B:C,2,0),"")</f>
        <v/>
      </c>
      <c r="F241" s="23">
        <f>LOOKUP(2,1/((Purchase!$D$1:$D$500=C241)*(Purchase!$A$1:$A$500&lt;=A241)),Purchase!$G$1:$G$500)</f>
        <v/>
      </c>
      <c r="G241" s="23">
        <f>+D241*F241</f>
        <v/>
      </c>
    </row>
    <row r="242">
      <c r="A242" s="8" t="n"/>
      <c r="B242" s="8" t="n"/>
      <c r="C242" s="21" t="n"/>
      <c r="D242" s="22" t="n"/>
      <c r="E242" s="22">
        <f>IFERROR(+VLOOKUP(C242,Master!B:C,2,0),"")</f>
        <v/>
      </c>
      <c r="F242" s="23">
        <f>LOOKUP(2,1/((Purchase!$D$1:$D$500=C242)*(Purchase!$A$1:$A$500&lt;=A242)),Purchase!$G$1:$G$500)</f>
        <v/>
      </c>
      <c r="G242" s="23">
        <f>+D242*F242</f>
        <v/>
      </c>
    </row>
    <row r="243">
      <c r="A243" s="8" t="n"/>
      <c r="B243" s="8" t="n"/>
      <c r="C243" s="21" t="n"/>
      <c r="D243" s="22" t="n"/>
      <c r="E243" s="22">
        <f>IFERROR(+VLOOKUP(C243,Master!B:C,2,0),"")</f>
        <v/>
      </c>
      <c r="F243" s="23">
        <f>LOOKUP(2,1/((Purchase!$D$1:$D$500=C243)*(Purchase!$A$1:$A$500&lt;=A243)),Purchase!$G$1:$G$500)</f>
        <v/>
      </c>
      <c r="G243" s="23">
        <f>+D243*F243</f>
        <v/>
      </c>
    </row>
    <row r="244">
      <c r="A244" s="8" t="n"/>
      <c r="B244" s="8" t="n"/>
      <c r="C244" s="21" t="n"/>
      <c r="D244" s="22" t="n"/>
      <c r="E244" s="22">
        <f>IFERROR(+VLOOKUP(C244,Master!B:C,2,0),"")</f>
        <v/>
      </c>
      <c r="F244" s="23">
        <f>LOOKUP(2,1/((Purchase!$D$1:$D$500=C244)*(Purchase!$A$1:$A$500&lt;=A244)),Purchase!$G$1:$G$500)</f>
        <v/>
      </c>
      <c r="G244" s="23">
        <f>+D244*F244</f>
        <v/>
      </c>
    </row>
    <row r="245">
      <c r="A245" s="8" t="n"/>
      <c r="B245" s="8" t="n"/>
      <c r="C245" s="21" t="n"/>
      <c r="D245" s="22" t="n"/>
      <c r="E245" s="22">
        <f>IFERROR(+VLOOKUP(C245,Master!B:C,2,0),"")</f>
        <v/>
      </c>
      <c r="F245" s="23">
        <f>LOOKUP(2,1/((Purchase!$D$1:$D$500=C245)*(Purchase!$A$1:$A$500&lt;=A245)),Purchase!$G$1:$G$500)</f>
        <v/>
      </c>
      <c r="G245" s="23">
        <f>+D245*F245</f>
        <v/>
      </c>
    </row>
    <row r="246">
      <c r="A246" s="8" t="n"/>
      <c r="B246" s="8" t="n"/>
      <c r="C246" s="21" t="n"/>
      <c r="D246" s="22" t="n"/>
      <c r="E246" s="22">
        <f>IFERROR(+VLOOKUP(C246,Master!B:C,2,0),"")</f>
        <v/>
      </c>
      <c r="F246" s="23">
        <f>LOOKUP(2,1/((Purchase!$D$1:$D$500=C246)*(Purchase!$A$1:$A$500&lt;=A246)),Purchase!$G$1:$G$500)</f>
        <v/>
      </c>
      <c r="G246" s="23">
        <f>+D246*F246</f>
        <v/>
      </c>
    </row>
    <row r="247">
      <c r="A247" s="8" t="n"/>
      <c r="B247" s="8" t="n"/>
      <c r="C247" s="21" t="n"/>
      <c r="D247" s="22" t="n"/>
      <c r="E247" s="22">
        <f>IFERROR(+VLOOKUP(C247,Master!B:C,2,0),"")</f>
        <v/>
      </c>
      <c r="F247" s="23">
        <f>LOOKUP(2,1/((Purchase!$D$1:$D$500=C247)*(Purchase!$A$1:$A$500&lt;=A247)),Purchase!$G$1:$G$500)</f>
        <v/>
      </c>
      <c r="G247" s="23">
        <f>+D247*F247</f>
        <v/>
      </c>
    </row>
    <row r="248">
      <c r="A248" s="8" t="n"/>
      <c r="B248" s="8" t="n"/>
      <c r="C248" s="21" t="n"/>
      <c r="D248" s="22" t="n"/>
      <c r="E248" s="22">
        <f>IFERROR(+VLOOKUP(C248,Master!B:C,2,0),"")</f>
        <v/>
      </c>
      <c r="F248" s="23">
        <f>LOOKUP(2,1/((Purchase!$D$1:$D$500=C248)*(Purchase!$A$1:$A$500&lt;=A248)),Purchase!$G$1:$G$500)</f>
        <v/>
      </c>
      <c r="G248" s="23">
        <f>+D248*F248</f>
        <v/>
      </c>
    </row>
    <row r="249">
      <c r="A249" s="8" t="n"/>
      <c r="B249" s="8" t="n"/>
      <c r="C249" s="21" t="n"/>
      <c r="D249" s="22" t="n"/>
      <c r="E249" s="22">
        <f>IFERROR(+VLOOKUP(C249,Master!B:C,2,0),"")</f>
        <v/>
      </c>
      <c r="F249" s="23">
        <f>LOOKUP(2,1/((Purchase!$D$1:$D$500=C249)*(Purchase!$A$1:$A$500&lt;=A249)),Purchase!$G$1:$G$500)</f>
        <v/>
      </c>
      <c r="G249" s="23">
        <f>+D249*F249</f>
        <v/>
      </c>
    </row>
    <row r="250">
      <c r="A250" s="8" t="n"/>
      <c r="B250" s="8" t="n"/>
      <c r="C250" s="21" t="n"/>
      <c r="D250" s="22" t="n"/>
      <c r="E250" s="22">
        <f>IFERROR(+VLOOKUP(C250,Master!B:C,2,0),"")</f>
        <v/>
      </c>
      <c r="F250" s="23">
        <f>LOOKUP(2,1/((Purchase!$D$1:$D$500=C250)*(Purchase!$A$1:$A$500&lt;=A250)),Purchase!$G$1:$G$500)</f>
        <v/>
      </c>
      <c r="G250" s="23">
        <f>+D250*F250</f>
        <v/>
      </c>
    </row>
    <row r="251">
      <c r="A251" s="8" t="n"/>
      <c r="B251" s="8" t="n"/>
      <c r="C251" s="21" t="n"/>
      <c r="D251" s="22" t="n"/>
      <c r="E251" s="22">
        <f>IFERROR(+VLOOKUP(C251,Master!B:C,2,0),"")</f>
        <v/>
      </c>
      <c r="F251" s="23">
        <f>LOOKUP(2,1/((Purchase!$D$1:$D$500=C251)*(Purchase!$A$1:$A$500&lt;=A251)),Purchase!$G$1:$G$500)</f>
        <v/>
      </c>
      <c r="G251" s="23">
        <f>+D251*F251</f>
        <v/>
      </c>
    </row>
    <row r="252">
      <c r="A252" s="8" t="n"/>
      <c r="B252" s="8" t="n"/>
      <c r="C252" s="21" t="n"/>
      <c r="D252" s="22" t="n"/>
      <c r="E252" s="22">
        <f>IFERROR(+VLOOKUP(C252,Master!B:C,2,0),"")</f>
        <v/>
      </c>
      <c r="F252" s="23">
        <f>LOOKUP(2,1/((Purchase!$D$1:$D$500=C252)*(Purchase!$A$1:$A$500&lt;=A252)),Purchase!$G$1:$G$500)</f>
        <v/>
      </c>
      <c r="G252" s="23">
        <f>+D252*F252</f>
        <v/>
      </c>
    </row>
    <row r="253">
      <c r="A253" s="8" t="n"/>
      <c r="B253" s="8" t="n"/>
      <c r="C253" s="21" t="n"/>
      <c r="D253" s="22" t="n"/>
      <c r="E253" s="22">
        <f>IFERROR(+VLOOKUP(C253,Master!B:C,2,0),"")</f>
        <v/>
      </c>
      <c r="F253" s="23">
        <f>LOOKUP(2,1/((Purchase!$D$1:$D$500=C253)*(Purchase!$A$1:$A$500&lt;=A253)),Purchase!$G$1:$G$500)</f>
        <v/>
      </c>
      <c r="G253" s="23">
        <f>+D253*F253</f>
        <v/>
      </c>
    </row>
    <row r="254">
      <c r="A254" s="8" t="n"/>
      <c r="B254" s="8" t="n"/>
      <c r="C254" s="21" t="n"/>
      <c r="D254" s="22" t="n"/>
      <c r="E254" s="22">
        <f>IFERROR(+VLOOKUP(C254,Master!B:C,2,0),"")</f>
        <v/>
      </c>
      <c r="F254" s="23">
        <f>LOOKUP(2,1/((Purchase!$D$1:$D$500=C254)*(Purchase!$A$1:$A$500&lt;=A254)),Purchase!$G$1:$G$500)</f>
        <v/>
      </c>
      <c r="G254" s="23">
        <f>+D254*F254</f>
        <v/>
      </c>
    </row>
    <row r="255">
      <c r="A255" s="8" t="n"/>
      <c r="B255" s="8" t="n"/>
      <c r="C255" s="21" t="n"/>
      <c r="D255" s="22" t="n"/>
      <c r="E255" s="22">
        <f>IFERROR(+VLOOKUP(C255,Master!B:C,2,0),"")</f>
        <v/>
      </c>
      <c r="F255" s="23">
        <f>LOOKUP(2,1/((Purchase!$D$1:$D$500=C255)*(Purchase!$A$1:$A$500&lt;=A255)),Purchase!$G$1:$G$500)</f>
        <v/>
      </c>
      <c r="G255" s="23">
        <f>+D255*F255</f>
        <v/>
      </c>
    </row>
    <row r="256">
      <c r="A256" s="8" t="n"/>
      <c r="B256" s="8" t="n"/>
      <c r="C256" s="21" t="n"/>
      <c r="D256" s="22" t="n"/>
      <c r="E256" s="22">
        <f>IFERROR(+VLOOKUP(C256,Master!B:C,2,0),"")</f>
        <v/>
      </c>
      <c r="F256" s="23">
        <f>LOOKUP(2,1/((Purchase!$D$1:$D$500=C256)*(Purchase!$A$1:$A$500&lt;=A256)),Purchase!$G$1:$G$500)</f>
        <v/>
      </c>
      <c r="G256" s="23">
        <f>+D256*F256</f>
        <v/>
      </c>
    </row>
    <row r="257">
      <c r="A257" s="8" t="n"/>
      <c r="B257" s="8" t="n"/>
      <c r="C257" s="21" t="n"/>
      <c r="D257" s="22" t="n"/>
      <c r="E257" s="22">
        <f>IFERROR(+VLOOKUP(C257,Master!B:C,2,0),"")</f>
        <v/>
      </c>
      <c r="F257" s="23">
        <f>LOOKUP(2,1/((Purchase!$D$1:$D$500=C257)*(Purchase!$A$1:$A$500&lt;=A257)),Purchase!$G$1:$G$500)</f>
        <v/>
      </c>
      <c r="G257" s="23">
        <f>+D257*F257</f>
        <v/>
      </c>
    </row>
    <row r="258">
      <c r="A258" s="8" t="n"/>
      <c r="B258" s="8" t="n"/>
      <c r="C258" s="21" t="n"/>
      <c r="D258" s="22" t="n"/>
      <c r="E258" s="22">
        <f>IFERROR(+VLOOKUP(C258,Master!B:C,2,0),"")</f>
        <v/>
      </c>
      <c r="F258" s="23">
        <f>LOOKUP(2,1/((Purchase!$D$1:$D$500=C258)*(Purchase!$A$1:$A$500&lt;=A258)),Purchase!$G$1:$G$500)</f>
        <v/>
      </c>
      <c r="G258" s="23">
        <f>+D258*F258</f>
        <v/>
      </c>
    </row>
    <row r="259">
      <c r="A259" s="8" t="n"/>
      <c r="B259" s="8" t="n"/>
      <c r="C259" s="21" t="n"/>
      <c r="D259" s="22" t="n"/>
      <c r="E259" s="22">
        <f>IFERROR(+VLOOKUP(C259,Master!B:C,2,0),"")</f>
        <v/>
      </c>
      <c r="F259" s="23">
        <f>LOOKUP(2,1/((Purchase!$D$1:$D$500=C259)*(Purchase!$A$1:$A$500&lt;=A259)),Purchase!$G$1:$G$500)</f>
        <v/>
      </c>
      <c r="G259" s="23">
        <f>+D259*F259</f>
        <v/>
      </c>
    </row>
    <row r="260">
      <c r="A260" s="8" t="n"/>
      <c r="B260" s="8" t="n"/>
      <c r="C260" s="21" t="n"/>
      <c r="D260" s="22" t="n"/>
      <c r="E260" s="22">
        <f>IFERROR(+VLOOKUP(C260,Master!B:C,2,0),"")</f>
        <v/>
      </c>
      <c r="F260" s="23">
        <f>LOOKUP(2,1/((Purchase!$D$1:$D$500=C260)*(Purchase!$A$1:$A$500&lt;=A260)),Purchase!$G$1:$G$500)</f>
        <v/>
      </c>
      <c r="G260" s="23">
        <f>+D260*F260</f>
        <v/>
      </c>
    </row>
    <row r="261">
      <c r="A261" s="8" t="n"/>
      <c r="B261" s="8" t="n"/>
      <c r="C261" s="21" t="n"/>
      <c r="D261" s="22" t="n"/>
      <c r="E261" s="22">
        <f>IFERROR(+VLOOKUP(C261,Master!B:C,2,0),"")</f>
        <v/>
      </c>
      <c r="F261" s="23">
        <f>LOOKUP(2,1/((Purchase!$D$1:$D$500=C261)*(Purchase!$A$1:$A$500&lt;=A261)),Purchase!$G$1:$G$500)</f>
        <v/>
      </c>
      <c r="G261" s="23">
        <f>+D261*F261</f>
        <v/>
      </c>
    </row>
    <row r="262">
      <c r="A262" s="8" t="n"/>
      <c r="B262" s="8" t="n"/>
      <c r="C262" s="21" t="n"/>
      <c r="D262" s="22" t="n"/>
      <c r="E262" s="22">
        <f>IFERROR(+VLOOKUP(C262,Master!B:C,2,0),"")</f>
        <v/>
      </c>
      <c r="F262" s="23">
        <f>LOOKUP(2,1/((Purchase!$D$1:$D$500=C262)*(Purchase!$A$1:$A$500&lt;=A262)),Purchase!$G$1:$G$500)</f>
        <v/>
      </c>
      <c r="G262" s="23">
        <f>+D262*F262</f>
        <v/>
      </c>
    </row>
    <row r="263">
      <c r="A263" s="8" t="n"/>
      <c r="B263" s="8" t="n"/>
      <c r="C263" s="21" t="n"/>
      <c r="D263" s="22" t="n"/>
      <c r="E263" s="22">
        <f>IFERROR(+VLOOKUP(C263,Master!B:C,2,0),"")</f>
        <v/>
      </c>
      <c r="F263" s="23">
        <f>LOOKUP(2,1/((Purchase!$D$1:$D$500=C263)*(Purchase!$A$1:$A$500&lt;=A263)),Purchase!$G$1:$G$500)</f>
        <v/>
      </c>
      <c r="G263" s="23">
        <f>+D263*F263</f>
        <v/>
      </c>
    </row>
    <row r="264">
      <c r="A264" s="8" t="n"/>
      <c r="B264" s="8" t="n"/>
      <c r="C264" s="21" t="n"/>
      <c r="D264" s="22" t="n"/>
      <c r="E264" s="22">
        <f>IFERROR(+VLOOKUP(C264,Master!B:C,2,0),"")</f>
        <v/>
      </c>
      <c r="F264" s="23">
        <f>LOOKUP(2,1/((Purchase!$D$1:$D$500=C264)*(Purchase!$A$1:$A$500&lt;=A264)),Purchase!$G$1:$G$500)</f>
        <v/>
      </c>
      <c r="G264" s="23">
        <f>+D264*F264</f>
        <v/>
      </c>
    </row>
    <row r="265">
      <c r="A265" s="8" t="n"/>
      <c r="B265" s="8" t="n"/>
      <c r="C265" s="21" t="n"/>
      <c r="D265" s="22" t="n"/>
      <c r="E265" s="22">
        <f>IFERROR(+VLOOKUP(C265,Master!B:C,2,0),"")</f>
        <v/>
      </c>
      <c r="F265" s="23">
        <f>LOOKUP(2,1/((Purchase!$D$1:$D$500=C265)*(Purchase!$A$1:$A$500&lt;=A265)),Purchase!$G$1:$G$500)</f>
        <v/>
      </c>
      <c r="G265" s="23">
        <f>+D265*F265</f>
        <v/>
      </c>
    </row>
    <row r="266">
      <c r="A266" s="8" t="n"/>
      <c r="B266" s="8" t="n"/>
      <c r="C266" s="21" t="n"/>
      <c r="D266" s="22" t="n"/>
      <c r="E266" s="22">
        <f>IFERROR(+VLOOKUP(C266,Master!B:C,2,0),"")</f>
        <v/>
      </c>
      <c r="F266" s="23">
        <f>LOOKUP(2,1/((Purchase!$D$1:$D$500=C266)*(Purchase!$A$1:$A$500&lt;=A266)),Purchase!$G$1:$G$500)</f>
        <v/>
      </c>
      <c r="G266" s="23">
        <f>+D266*F266</f>
        <v/>
      </c>
    </row>
    <row r="267">
      <c r="A267" s="8" t="n"/>
      <c r="B267" s="8" t="n"/>
      <c r="C267" s="21" t="n"/>
      <c r="D267" s="22" t="n"/>
      <c r="E267" s="22">
        <f>IFERROR(+VLOOKUP(C267,Master!B:C,2,0),"")</f>
        <v/>
      </c>
      <c r="F267" s="23">
        <f>LOOKUP(2,1/((Purchase!$D$1:$D$500=C267)*(Purchase!$A$1:$A$500&lt;=A267)),Purchase!$G$1:$G$500)</f>
        <v/>
      </c>
      <c r="G267" s="23">
        <f>+D267*F267</f>
        <v/>
      </c>
    </row>
    <row r="268">
      <c r="A268" s="8" t="n"/>
      <c r="B268" s="8" t="n"/>
      <c r="C268" s="21" t="n"/>
      <c r="D268" s="22" t="n"/>
      <c r="E268" s="22">
        <f>IFERROR(+VLOOKUP(C268,Master!B:C,2,0),"")</f>
        <v/>
      </c>
      <c r="F268" s="23">
        <f>LOOKUP(2,1/((Purchase!$D$1:$D$500=C268)*(Purchase!$A$1:$A$500&lt;=A268)),Purchase!$G$1:$G$500)</f>
        <v/>
      </c>
      <c r="G268" s="23">
        <f>+D268*F268</f>
        <v/>
      </c>
    </row>
    <row r="269">
      <c r="A269" s="8" t="n"/>
      <c r="B269" s="8" t="n"/>
      <c r="C269" s="21" t="n"/>
      <c r="D269" s="22" t="n"/>
      <c r="E269" s="22">
        <f>IFERROR(+VLOOKUP(C269,Master!B:C,2,0),"")</f>
        <v/>
      </c>
      <c r="F269" s="23">
        <f>LOOKUP(2,1/((Purchase!$D$1:$D$500=C269)*(Purchase!$A$1:$A$500&lt;=A269)),Purchase!$G$1:$G$500)</f>
        <v/>
      </c>
      <c r="G269" s="23">
        <f>+D269*F269</f>
        <v/>
      </c>
    </row>
    <row r="270">
      <c r="A270" s="8" t="n"/>
      <c r="B270" s="8" t="n"/>
      <c r="C270" s="21" t="n"/>
      <c r="D270" s="22" t="n"/>
      <c r="E270" s="22">
        <f>IFERROR(+VLOOKUP(C270,Master!B:C,2,0),"")</f>
        <v/>
      </c>
      <c r="F270" s="23">
        <f>LOOKUP(2,1/((Purchase!$D$1:$D$500=C270)*(Purchase!$A$1:$A$500&lt;=A270)),Purchase!$G$1:$G$500)</f>
        <v/>
      </c>
      <c r="G270" s="23">
        <f>+D270*F270</f>
        <v/>
      </c>
    </row>
    <row r="271">
      <c r="A271" s="8" t="n"/>
      <c r="B271" s="8" t="n"/>
      <c r="C271" s="21" t="n"/>
      <c r="D271" s="22" t="n"/>
      <c r="E271" s="22">
        <f>IFERROR(+VLOOKUP(C271,Master!B:C,2,0),"")</f>
        <v/>
      </c>
      <c r="F271" s="23">
        <f>LOOKUP(2,1/((Purchase!$D$1:$D$500=C271)*(Purchase!$A$1:$A$500&lt;=A271)),Purchase!$G$1:$G$500)</f>
        <v/>
      </c>
      <c r="G271" s="23">
        <f>+D271*F271</f>
        <v/>
      </c>
    </row>
    <row r="272">
      <c r="A272" s="8" t="n"/>
      <c r="B272" s="8" t="n"/>
      <c r="C272" s="21" t="n"/>
      <c r="D272" s="22" t="n"/>
      <c r="E272" s="22">
        <f>IFERROR(+VLOOKUP(C272,Master!B:C,2,0),"")</f>
        <v/>
      </c>
      <c r="F272" s="23">
        <f>LOOKUP(2,1/((Purchase!$D$1:$D$500=C272)*(Purchase!$A$1:$A$500&lt;=A272)),Purchase!$G$1:$G$500)</f>
        <v/>
      </c>
      <c r="G272" s="23">
        <f>+D272*F272</f>
        <v/>
      </c>
    </row>
    <row r="273">
      <c r="A273" s="8" t="n"/>
      <c r="B273" s="8" t="n"/>
      <c r="C273" s="21" t="n"/>
      <c r="D273" s="22" t="n"/>
      <c r="E273" s="22">
        <f>IFERROR(+VLOOKUP(C273,Master!B:C,2,0),"")</f>
        <v/>
      </c>
      <c r="F273" s="23">
        <f>LOOKUP(2,1/((Purchase!$D$1:$D$500=C273)*(Purchase!$A$1:$A$500&lt;=A273)),Purchase!$G$1:$G$500)</f>
        <v/>
      </c>
      <c r="G273" s="23">
        <f>+D273*F273</f>
        <v/>
      </c>
    </row>
    <row r="274">
      <c r="A274" s="8" t="n"/>
      <c r="B274" s="8" t="n"/>
      <c r="C274" s="21" t="n"/>
      <c r="D274" s="22" t="n"/>
      <c r="E274" s="22">
        <f>IFERROR(+VLOOKUP(C274,Master!B:C,2,0),"")</f>
        <v/>
      </c>
      <c r="F274" s="23">
        <f>LOOKUP(2,1/((Purchase!$D$1:$D$500=C274)*(Purchase!$A$1:$A$500&lt;=A274)),Purchase!$G$1:$G$500)</f>
        <v/>
      </c>
      <c r="G274" s="23">
        <f>+D274*F274</f>
        <v/>
      </c>
    </row>
    <row r="275">
      <c r="A275" s="8" t="n"/>
      <c r="B275" s="8" t="n"/>
      <c r="C275" s="21" t="n"/>
      <c r="D275" s="22" t="n"/>
      <c r="E275" s="22">
        <f>IFERROR(+VLOOKUP(C275,Master!B:C,2,0),"")</f>
        <v/>
      </c>
      <c r="F275" s="23">
        <f>LOOKUP(2,1/((Purchase!$D$1:$D$500=C275)*(Purchase!$A$1:$A$500&lt;=A275)),Purchase!$G$1:$G$500)</f>
        <v/>
      </c>
      <c r="G275" s="23">
        <f>+D275*F275</f>
        <v/>
      </c>
    </row>
    <row r="276">
      <c r="A276" s="8" t="n"/>
      <c r="B276" s="8" t="n"/>
      <c r="C276" s="21" t="n"/>
      <c r="D276" s="22" t="n"/>
      <c r="E276" s="22">
        <f>IFERROR(+VLOOKUP(C276,Master!B:C,2,0),"")</f>
        <v/>
      </c>
      <c r="F276" s="23">
        <f>LOOKUP(2,1/((Purchase!$D$1:$D$500=C276)*(Purchase!$A$1:$A$500&lt;=A276)),Purchase!$G$1:$G$500)</f>
        <v/>
      </c>
      <c r="G276" s="23">
        <f>+D276*F276</f>
        <v/>
      </c>
    </row>
    <row r="277">
      <c r="A277" s="8" t="n"/>
      <c r="B277" s="8" t="n"/>
      <c r="C277" s="21" t="n"/>
      <c r="D277" s="22" t="n"/>
      <c r="E277" s="22">
        <f>IFERROR(+VLOOKUP(C277,Master!B:C,2,0),"")</f>
        <v/>
      </c>
      <c r="F277" s="23">
        <f>LOOKUP(2,1/((Purchase!$D$1:$D$500=C277)*(Purchase!$A$1:$A$500&lt;=A277)),Purchase!$G$1:$G$500)</f>
        <v/>
      </c>
      <c r="G277" s="23">
        <f>+D277*F277</f>
        <v/>
      </c>
    </row>
    <row r="278">
      <c r="A278" s="8" t="n"/>
      <c r="B278" s="8" t="n"/>
      <c r="C278" s="21" t="n"/>
      <c r="D278" s="22" t="n"/>
      <c r="E278" s="22">
        <f>IFERROR(+VLOOKUP(C278,Master!B:C,2,0),"")</f>
        <v/>
      </c>
      <c r="F278" s="23">
        <f>LOOKUP(2,1/((Purchase!$D$1:$D$500=C278)*(Purchase!$A$1:$A$500&lt;=A278)),Purchase!$G$1:$G$500)</f>
        <v/>
      </c>
      <c r="G278" s="23">
        <f>+D278*F278</f>
        <v/>
      </c>
    </row>
    <row r="279">
      <c r="A279" s="8" t="n"/>
      <c r="B279" s="8" t="n"/>
      <c r="C279" s="21" t="n"/>
      <c r="D279" s="22" t="n"/>
      <c r="E279" s="22">
        <f>IFERROR(+VLOOKUP(C279,Master!B:C,2,0),"")</f>
        <v/>
      </c>
      <c r="F279" s="23">
        <f>LOOKUP(2,1/((Purchase!$D$1:$D$500=C279)*(Purchase!$A$1:$A$500&lt;=A279)),Purchase!$G$1:$G$500)</f>
        <v/>
      </c>
      <c r="G279" s="23">
        <f>+D279*F279</f>
        <v/>
      </c>
    </row>
    <row r="280">
      <c r="A280" s="8" t="n"/>
      <c r="B280" s="8" t="n"/>
      <c r="C280" s="21" t="n"/>
      <c r="D280" s="22" t="n"/>
      <c r="E280" s="22">
        <f>IFERROR(+VLOOKUP(C280,Master!B:C,2,0),"")</f>
        <v/>
      </c>
      <c r="F280" s="23">
        <f>LOOKUP(2,1/((Purchase!$D$1:$D$500=C280)*(Purchase!$A$1:$A$500&lt;=A280)),Purchase!$G$1:$G$500)</f>
        <v/>
      </c>
      <c r="G280" s="23">
        <f>+D280*F280</f>
        <v/>
      </c>
    </row>
    <row r="281">
      <c r="A281" s="8" t="n"/>
      <c r="B281" s="8" t="n"/>
      <c r="C281" s="21" t="n"/>
      <c r="D281" s="22" t="n"/>
      <c r="E281" s="22">
        <f>IFERROR(+VLOOKUP(C281,Master!B:C,2,0),"")</f>
        <v/>
      </c>
      <c r="F281" s="23">
        <f>LOOKUP(2,1/((Purchase!$D$1:$D$500=C281)*(Purchase!$A$1:$A$500&lt;=A281)),Purchase!$G$1:$G$500)</f>
        <v/>
      </c>
      <c r="G281" s="23">
        <f>+D281*F281</f>
        <v/>
      </c>
    </row>
    <row r="282">
      <c r="A282" s="8" t="n"/>
      <c r="B282" s="8" t="n"/>
      <c r="C282" s="21" t="n"/>
      <c r="D282" s="22" t="n"/>
      <c r="E282" s="22">
        <f>IFERROR(+VLOOKUP(C282,Master!B:C,2,0),"")</f>
        <v/>
      </c>
      <c r="F282" s="23">
        <f>LOOKUP(2,1/((Purchase!$D$1:$D$500=C282)*(Purchase!$A$1:$A$500&lt;=A282)),Purchase!$G$1:$G$500)</f>
        <v/>
      </c>
      <c r="G282" s="23">
        <f>+D282*F282</f>
        <v/>
      </c>
    </row>
    <row r="283">
      <c r="A283" s="8" t="n"/>
      <c r="B283" s="8" t="n"/>
      <c r="C283" s="21" t="n"/>
      <c r="D283" s="22" t="n"/>
      <c r="E283" s="22">
        <f>IFERROR(+VLOOKUP(C283,Master!B:C,2,0),"")</f>
        <v/>
      </c>
      <c r="F283" s="23">
        <f>LOOKUP(2,1/((Purchase!$D$1:$D$500=C283)*(Purchase!$A$1:$A$500&lt;=A283)),Purchase!$G$1:$G$500)</f>
        <v/>
      </c>
      <c r="G283" s="23">
        <f>+D283*F283</f>
        <v/>
      </c>
    </row>
    <row r="284">
      <c r="A284" s="8" t="n"/>
      <c r="B284" s="8" t="n"/>
      <c r="C284" s="21" t="n"/>
      <c r="D284" s="22" t="n"/>
      <c r="E284" s="22">
        <f>IFERROR(+VLOOKUP(C284,Master!B:C,2,0),"")</f>
        <v/>
      </c>
      <c r="F284" s="23">
        <f>LOOKUP(2,1/((Purchase!$D$1:$D$500=C284)*(Purchase!$A$1:$A$500&lt;=A284)),Purchase!$G$1:$G$500)</f>
        <v/>
      </c>
      <c r="G284" s="23">
        <f>+D284*F284</f>
        <v/>
      </c>
    </row>
    <row r="285">
      <c r="A285" s="8" t="n"/>
      <c r="B285" s="8" t="n"/>
      <c r="C285" s="21" t="n"/>
      <c r="D285" s="22" t="n"/>
      <c r="E285" s="22">
        <f>IFERROR(+VLOOKUP(C285,Master!B:C,2,0),"")</f>
        <v/>
      </c>
      <c r="F285" s="23">
        <f>LOOKUP(2,1/((Purchase!$D$1:$D$500=C285)*(Purchase!$A$1:$A$500&lt;=A285)),Purchase!$G$1:$G$500)</f>
        <v/>
      </c>
      <c r="G285" s="23">
        <f>+D285*F285</f>
        <v/>
      </c>
    </row>
    <row r="286">
      <c r="A286" s="8" t="n"/>
      <c r="B286" s="8" t="n"/>
      <c r="C286" s="21" t="n"/>
      <c r="D286" s="22" t="n"/>
      <c r="E286" s="22">
        <f>IFERROR(+VLOOKUP(C286,Master!B:C,2,0),"")</f>
        <v/>
      </c>
      <c r="F286" s="23">
        <f>LOOKUP(2,1/((Purchase!$D$1:$D$500=C286)*(Purchase!$A$1:$A$500&lt;=A286)),Purchase!$G$1:$G$500)</f>
        <v/>
      </c>
      <c r="G286" s="23">
        <f>+D286*F286</f>
        <v/>
      </c>
    </row>
    <row r="287">
      <c r="A287" s="8" t="n"/>
      <c r="B287" s="8" t="n"/>
      <c r="C287" s="21" t="n"/>
      <c r="D287" s="22" t="n"/>
      <c r="E287" s="22">
        <f>IFERROR(+VLOOKUP(C287,Master!B:C,2,0),"")</f>
        <v/>
      </c>
      <c r="F287" s="23">
        <f>LOOKUP(2,1/((Purchase!$D$1:$D$500=C287)*(Purchase!$A$1:$A$500&lt;=A287)),Purchase!$G$1:$G$500)</f>
        <v/>
      </c>
      <c r="G287" s="23">
        <f>+D287*F287</f>
        <v/>
      </c>
    </row>
    <row r="288">
      <c r="A288" s="8" t="n"/>
      <c r="B288" s="8" t="n"/>
      <c r="C288" s="21" t="n"/>
      <c r="D288" s="22" t="n"/>
      <c r="E288" s="22">
        <f>IFERROR(+VLOOKUP(C288,Master!B:C,2,0),"")</f>
        <v/>
      </c>
      <c r="F288" s="23">
        <f>LOOKUP(2,1/((Purchase!$D$1:$D$500=C288)*(Purchase!$A$1:$A$500&lt;=A288)),Purchase!$G$1:$G$500)</f>
        <v/>
      </c>
      <c r="G288" s="23">
        <f>+D288*F288</f>
        <v/>
      </c>
    </row>
    <row r="289">
      <c r="A289" s="8" t="n"/>
      <c r="B289" s="8" t="n"/>
      <c r="C289" s="21" t="n"/>
      <c r="D289" s="22" t="n"/>
      <c r="E289" s="22">
        <f>IFERROR(+VLOOKUP(C289,Master!B:C,2,0),"")</f>
        <v/>
      </c>
      <c r="F289" s="23">
        <f>LOOKUP(2,1/((Purchase!$D$1:$D$500=C289)*(Purchase!$A$1:$A$500&lt;=A289)),Purchase!$G$1:$G$500)</f>
        <v/>
      </c>
      <c r="G289" s="23">
        <f>+D289*F289</f>
        <v/>
      </c>
    </row>
    <row r="290">
      <c r="A290" s="8" t="n"/>
      <c r="B290" s="8" t="n"/>
      <c r="C290" s="21" t="n"/>
      <c r="D290" s="22" t="n"/>
      <c r="E290" s="22">
        <f>IFERROR(+VLOOKUP(C290,Master!B:C,2,0),"")</f>
        <v/>
      </c>
      <c r="F290" s="23">
        <f>LOOKUP(2,1/((Purchase!$D$1:$D$500=C290)*(Purchase!$A$1:$A$500&lt;=A290)),Purchase!$G$1:$G$500)</f>
        <v/>
      </c>
      <c r="G290" s="23">
        <f>+D290*F290</f>
        <v/>
      </c>
    </row>
    <row r="291">
      <c r="A291" s="8" t="n"/>
      <c r="B291" s="8" t="n"/>
      <c r="C291" s="21" t="n"/>
      <c r="D291" s="22" t="n"/>
      <c r="E291" s="22">
        <f>IFERROR(+VLOOKUP(C291,Master!B:C,2,0),"")</f>
        <v/>
      </c>
      <c r="F291" s="23">
        <f>LOOKUP(2,1/((Purchase!$D$1:$D$500=C291)*(Purchase!$A$1:$A$500&lt;=A291)),Purchase!$G$1:$G$500)</f>
        <v/>
      </c>
      <c r="G291" s="23">
        <f>+D291*F291</f>
        <v/>
      </c>
    </row>
    <row r="292">
      <c r="A292" s="8" t="n"/>
      <c r="B292" s="8" t="n"/>
      <c r="C292" s="21" t="n"/>
      <c r="D292" s="22" t="n"/>
      <c r="E292" s="22">
        <f>IFERROR(+VLOOKUP(C292,Master!B:C,2,0),"")</f>
        <v/>
      </c>
      <c r="F292" s="23">
        <f>LOOKUP(2,1/((Purchase!$D$1:$D$500=C292)*(Purchase!$A$1:$A$500&lt;=A292)),Purchase!$G$1:$G$500)</f>
        <v/>
      </c>
      <c r="G292" s="23">
        <f>+D292*F292</f>
        <v/>
      </c>
    </row>
    <row r="293">
      <c r="A293" s="8" t="n"/>
      <c r="B293" s="8" t="n"/>
      <c r="C293" s="21" t="n"/>
      <c r="D293" s="22" t="n"/>
      <c r="E293" s="22">
        <f>IFERROR(+VLOOKUP(C293,Master!B:C,2,0),"")</f>
        <v/>
      </c>
      <c r="F293" s="23">
        <f>LOOKUP(2,1/((Purchase!$D$1:$D$500=C293)*(Purchase!$A$1:$A$500&lt;=A293)),Purchase!$G$1:$G$500)</f>
        <v/>
      </c>
      <c r="G293" s="23">
        <f>+D293*F293</f>
        <v/>
      </c>
    </row>
    <row r="294">
      <c r="A294" s="8" t="n"/>
      <c r="B294" s="8" t="n"/>
      <c r="C294" s="21" t="n"/>
      <c r="D294" s="22" t="n"/>
      <c r="E294" s="22">
        <f>IFERROR(+VLOOKUP(C294,Master!B:C,2,0),"")</f>
        <v/>
      </c>
      <c r="F294" s="23">
        <f>LOOKUP(2,1/((Purchase!$D$1:$D$500=C294)*(Purchase!$A$1:$A$500&lt;=A294)),Purchase!$G$1:$G$500)</f>
        <v/>
      </c>
      <c r="G294" s="23">
        <f>+D294*F294</f>
        <v/>
      </c>
    </row>
    <row r="295">
      <c r="A295" s="8" t="n"/>
      <c r="B295" s="8" t="n"/>
      <c r="C295" s="21" t="n"/>
      <c r="D295" s="22" t="n"/>
      <c r="E295" s="22">
        <f>IFERROR(+VLOOKUP(C295,Master!B:C,2,0),"")</f>
        <v/>
      </c>
      <c r="F295" s="23">
        <f>LOOKUP(2,1/((Purchase!$D$1:$D$500=C295)*(Purchase!$A$1:$A$500&lt;=A295)),Purchase!$G$1:$G$500)</f>
        <v/>
      </c>
      <c r="G295" s="23">
        <f>+D295*F295</f>
        <v/>
      </c>
    </row>
    <row r="296">
      <c r="A296" s="8" t="n"/>
      <c r="B296" s="8" t="n"/>
      <c r="C296" s="21" t="n"/>
      <c r="D296" s="22" t="n"/>
      <c r="E296" s="22">
        <f>IFERROR(+VLOOKUP(C296,Master!B:C,2,0),"")</f>
        <v/>
      </c>
      <c r="F296" s="23">
        <f>LOOKUP(2,1/((Purchase!$D$1:$D$500=C296)*(Purchase!$A$1:$A$500&lt;=A296)),Purchase!$G$1:$G$500)</f>
        <v/>
      </c>
      <c r="G296" s="23">
        <f>+D296*F296</f>
        <v/>
      </c>
    </row>
    <row r="297">
      <c r="A297" s="8" t="n"/>
      <c r="B297" s="8" t="n"/>
      <c r="C297" s="21" t="n"/>
      <c r="D297" s="22" t="n"/>
      <c r="E297" s="22">
        <f>IFERROR(+VLOOKUP(C297,Master!B:C,2,0),"")</f>
        <v/>
      </c>
      <c r="F297" s="23">
        <f>LOOKUP(2,1/((Purchase!$D$1:$D$500=C297)*(Purchase!$A$1:$A$500&lt;=A297)),Purchase!$G$1:$G$500)</f>
        <v/>
      </c>
      <c r="G297" s="23">
        <f>+D297*F297</f>
        <v/>
      </c>
    </row>
    <row r="298">
      <c r="A298" s="8" t="n"/>
      <c r="B298" s="8" t="n"/>
      <c r="C298" s="21" t="n"/>
      <c r="D298" s="22" t="n"/>
      <c r="E298" s="22">
        <f>IFERROR(+VLOOKUP(C298,Master!B:C,2,0),"")</f>
        <v/>
      </c>
      <c r="F298" s="23">
        <f>LOOKUP(2,1/((Purchase!$D$1:$D$500=C298)*(Purchase!$A$1:$A$500&lt;=A298)),Purchase!$G$1:$G$500)</f>
        <v/>
      </c>
      <c r="G298" s="23">
        <f>+D298*F298</f>
        <v/>
      </c>
    </row>
    <row r="299">
      <c r="A299" s="8" t="n"/>
      <c r="B299" s="8" t="n"/>
      <c r="C299" s="21" t="n"/>
      <c r="D299" s="22" t="n"/>
      <c r="E299" s="22">
        <f>IFERROR(+VLOOKUP(C299,Master!B:C,2,0),"")</f>
        <v/>
      </c>
      <c r="F299" s="23">
        <f>LOOKUP(2,1/((Purchase!$D$1:$D$500=C299)*(Purchase!$A$1:$A$500&lt;=A299)),Purchase!$G$1:$G$500)</f>
        <v/>
      </c>
      <c r="G299" s="23">
        <f>+D299*F299</f>
        <v/>
      </c>
    </row>
    <row r="300">
      <c r="A300" s="8" t="n"/>
      <c r="B300" s="8" t="n"/>
      <c r="C300" s="21" t="n"/>
      <c r="D300" s="22" t="n"/>
      <c r="E300" s="22">
        <f>IFERROR(+VLOOKUP(C300,Master!B:C,2,0),"")</f>
        <v/>
      </c>
      <c r="F300" s="23">
        <f>LOOKUP(2,1/((Purchase!$D$1:$D$500=C300)*(Purchase!$A$1:$A$500&lt;=A300)),Purchase!$G$1:$G$500)</f>
        <v/>
      </c>
      <c r="G300" s="23">
        <f>+D300*F300</f>
        <v/>
      </c>
    </row>
    <row r="301">
      <c r="A301" s="8" t="n"/>
      <c r="B301" s="8" t="n"/>
      <c r="C301" s="21" t="n"/>
      <c r="D301" s="22" t="n"/>
      <c r="E301" s="22">
        <f>IFERROR(+VLOOKUP(C301,Master!B:C,2,0),"")</f>
        <v/>
      </c>
      <c r="F301" s="23">
        <f>LOOKUP(2,1/((Purchase!$D$1:$D$500=C301)*(Purchase!$A$1:$A$500&lt;=A301)),Purchase!$G$1:$G$500)</f>
        <v/>
      </c>
      <c r="G301" s="23">
        <f>+D301*F301</f>
        <v/>
      </c>
    </row>
    <row r="302">
      <c r="A302" s="8" t="n"/>
      <c r="B302" s="8" t="n"/>
      <c r="C302" s="21" t="n"/>
      <c r="D302" s="22" t="n"/>
      <c r="E302" s="22">
        <f>IFERROR(+VLOOKUP(C302,Master!B:C,2,0),"")</f>
        <v/>
      </c>
      <c r="F302" s="23">
        <f>LOOKUP(2,1/((Purchase!$D$1:$D$500=C302)*(Purchase!$A$1:$A$500&lt;=A302)),Purchase!$G$1:$G$500)</f>
        <v/>
      </c>
      <c r="G302" s="23">
        <f>+D302*F302</f>
        <v/>
      </c>
    </row>
    <row r="303">
      <c r="A303" s="8" t="n"/>
      <c r="B303" s="8" t="n"/>
      <c r="C303" s="21" t="n"/>
      <c r="D303" s="22" t="n"/>
      <c r="E303" s="22">
        <f>IFERROR(+VLOOKUP(C303,Master!B:C,2,0),"")</f>
        <v/>
      </c>
      <c r="F303" s="23">
        <f>LOOKUP(2,1/((Purchase!$D$1:$D$500=C303)*(Purchase!$A$1:$A$500&lt;=A303)),Purchase!$G$1:$G$500)</f>
        <v/>
      </c>
      <c r="G303" s="23">
        <f>+D303*F303</f>
        <v/>
      </c>
    </row>
    <row r="304">
      <c r="A304" s="8" t="n"/>
      <c r="B304" s="8" t="n"/>
      <c r="C304" s="21" t="n"/>
      <c r="D304" s="22" t="n"/>
      <c r="E304" s="22">
        <f>IFERROR(+VLOOKUP(C304,Master!B:C,2,0),"")</f>
        <v/>
      </c>
      <c r="F304" s="23">
        <f>LOOKUP(2,1/((Purchase!$D$1:$D$500=C304)*(Purchase!$A$1:$A$500&lt;=A304)),Purchase!$G$1:$G$500)</f>
        <v/>
      </c>
      <c r="G304" s="23">
        <f>+D304*F304</f>
        <v/>
      </c>
    </row>
    <row r="305">
      <c r="A305" s="8" t="n"/>
      <c r="B305" s="8" t="n"/>
      <c r="C305" s="21" t="n"/>
      <c r="D305" s="22" t="n"/>
      <c r="E305" s="22">
        <f>IFERROR(+VLOOKUP(C305,Master!B:C,2,0),"")</f>
        <v/>
      </c>
      <c r="F305" s="23">
        <f>LOOKUP(2,1/((Purchase!$D$1:$D$500=C305)*(Purchase!$A$1:$A$500&lt;=A305)),Purchase!$G$1:$G$500)</f>
        <v/>
      </c>
      <c r="G305" s="23">
        <f>+D305*F305</f>
        <v/>
      </c>
    </row>
    <row r="306">
      <c r="A306" s="8" t="n"/>
      <c r="B306" s="8" t="n"/>
      <c r="C306" s="21" t="n"/>
      <c r="D306" s="22" t="n"/>
      <c r="E306" s="22">
        <f>IFERROR(+VLOOKUP(C306,Master!B:C,2,0),"")</f>
        <v/>
      </c>
      <c r="F306" s="23">
        <f>LOOKUP(2,1/((Purchase!$D$1:$D$500=C306)*(Purchase!$A$1:$A$500&lt;=A306)),Purchase!$G$1:$G$500)</f>
        <v/>
      </c>
      <c r="G306" s="23">
        <f>+D306*F306</f>
        <v/>
      </c>
    </row>
    <row r="307">
      <c r="A307" s="8" t="n"/>
      <c r="B307" s="8" t="n"/>
      <c r="C307" s="21" t="n"/>
      <c r="D307" s="22" t="n"/>
      <c r="E307" s="22">
        <f>IFERROR(+VLOOKUP(C307,Master!B:C,2,0),"")</f>
        <v/>
      </c>
      <c r="F307" s="23">
        <f>LOOKUP(2,1/((Purchase!$D$1:$D$500=C307)*(Purchase!$A$1:$A$500&lt;=A307)),Purchase!$G$1:$G$500)</f>
        <v/>
      </c>
      <c r="G307" s="23">
        <f>+D307*F307</f>
        <v/>
      </c>
    </row>
    <row r="308">
      <c r="A308" s="8" t="n"/>
      <c r="B308" s="8" t="n"/>
      <c r="C308" s="21" t="n"/>
      <c r="D308" s="22" t="n"/>
      <c r="E308" s="22">
        <f>IFERROR(+VLOOKUP(C308,Master!B:C,2,0),"")</f>
        <v/>
      </c>
      <c r="F308" s="23">
        <f>LOOKUP(2,1/((Purchase!$D$1:$D$500=C308)*(Purchase!$A$1:$A$500&lt;=A308)),Purchase!$G$1:$G$500)</f>
        <v/>
      </c>
      <c r="G308" s="23">
        <f>+D308*F308</f>
        <v/>
      </c>
    </row>
    <row r="309">
      <c r="A309" s="8" t="n"/>
      <c r="B309" s="8" t="n"/>
      <c r="C309" s="21" t="n"/>
      <c r="D309" s="22" t="n"/>
      <c r="E309" s="22">
        <f>IFERROR(+VLOOKUP(C309,Master!B:C,2,0),"")</f>
        <v/>
      </c>
      <c r="F309" s="23">
        <f>LOOKUP(2,1/((Purchase!$D$1:$D$500=C309)*(Purchase!$A$1:$A$500&lt;=A309)),Purchase!$G$1:$G$500)</f>
        <v/>
      </c>
      <c r="G309" s="23">
        <f>+D309*F309</f>
        <v/>
      </c>
    </row>
    <row r="310">
      <c r="A310" s="8" t="n"/>
      <c r="B310" s="8" t="n"/>
      <c r="C310" s="21" t="n"/>
      <c r="D310" s="22" t="n"/>
      <c r="E310" s="22">
        <f>IFERROR(+VLOOKUP(C310,Master!B:C,2,0),"")</f>
        <v/>
      </c>
      <c r="F310" s="23">
        <f>LOOKUP(2,1/((Purchase!$D$1:$D$500=C310)*(Purchase!$A$1:$A$500&lt;=A310)),Purchase!$G$1:$G$500)</f>
        <v/>
      </c>
      <c r="G310" s="23">
        <f>+D310*F310</f>
        <v/>
      </c>
    </row>
    <row r="311">
      <c r="A311" s="8" t="n"/>
      <c r="B311" s="8" t="n"/>
      <c r="C311" s="21" t="n"/>
      <c r="D311" s="22" t="n"/>
      <c r="E311" s="22">
        <f>IFERROR(+VLOOKUP(C311,Master!B:C,2,0),"")</f>
        <v/>
      </c>
      <c r="F311" s="23">
        <f>LOOKUP(2,1/((Purchase!$D$1:$D$500=C311)*(Purchase!$A$1:$A$500&lt;=A311)),Purchase!$G$1:$G$500)</f>
        <v/>
      </c>
      <c r="G311" s="23">
        <f>+D311*F311</f>
        <v/>
      </c>
    </row>
    <row r="312">
      <c r="A312" s="8" t="n"/>
      <c r="B312" s="8" t="n"/>
      <c r="C312" s="21" t="n"/>
      <c r="D312" s="22" t="n"/>
      <c r="E312" s="22">
        <f>IFERROR(+VLOOKUP(C312,Master!B:C,2,0),"")</f>
        <v/>
      </c>
      <c r="F312" s="23">
        <f>LOOKUP(2,1/((Purchase!$D$1:$D$500=C312)*(Purchase!$A$1:$A$500&lt;=A312)),Purchase!$G$1:$G$500)</f>
        <v/>
      </c>
      <c r="G312" s="23">
        <f>+D312*F312</f>
        <v/>
      </c>
    </row>
    <row r="313">
      <c r="A313" s="8" t="n"/>
      <c r="B313" s="8" t="n"/>
      <c r="C313" s="21" t="n"/>
      <c r="D313" s="22" t="n"/>
      <c r="E313" s="22">
        <f>IFERROR(+VLOOKUP(C313,Master!B:C,2,0),"")</f>
        <v/>
      </c>
      <c r="F313" s="23">
        <f>LOOKUP(2,1/((Purchase!$D$1:$D$500=C313)*(Purchase!$A$1:$A$500&lt;=A313)),Purchase!$G$1:$G$500)</f>
        <v/>
      </c>
      <c r="G313" s="23">
        <f>+D313*F313</f>
        <v/>
      </c>
    </row>
    <row r="314">
      <c r="A314" s="8" t="n"/>
      <c r="B314" s="8" t="n"/>
      <c r="C314" s="21" t="n"/>
      <c r="D314" s="22" t="n"/>
      <c r="E314" s="22">
        <f>IFERROR(+VLOOKUP(C314,Master!B:C,2,0),"")</f>
        <v/>
      </c>
      <c r="F314" s="23">
        <f>LOOKUP(2,1/((Purchase!$D$1:$D$500=C314)*(Purchase!$A$1:$A$500&lt;=A314)),Purchase!$G$1:$G$500)</f>
        <v/>
      </c>
      <c r="G314" s="23">
        <f>+D314*F314</f>
        <v/>
      </c>
    </row>
    <row r="315">
      <c r="A315" s="8" t="n"/>
      <c r="B315" s="8" t="n"/>
      <c r="C315" s="21" t="n"/>
      <c r="D315" s="22" t="n"/>
      <c r="E315" s="22">
        <f>IFERROR(+VLOOKUP(C315,Master!B:C,2,0),"")</f>
        <v/>
      </c>
      <c r="F315" s="23">
        <f>LOOKUP(2,1/((Purchase!$D$1:$D$500=C315)*(Purchase!$A$1:$A$500&lt;=A315)),Purchase!$G$1:$G$500)</f>
        <v/>
      </c>
      <c r="G315" s="23">
        <f>+D315*F315</f>
        <v/>
      </c>
    </row>
    <row r="316">
      <c r="A316" s="8" t="n"/>
      <c r="B316" s="8" t="n"/>
      <c r="C316" s="21" t="n"/>
      <c r="D316" s="22" t="n"/>
      <c r="E316" s="22">
        <f>IFERROR(+VLOOKUP(C316,Master!B:C,2,0),"")</f>
        <v/>
      </c>
      <c r="F316" s="23">
        <f>LOOKUP(2,1/((Purchase!$D$1:$D$500=C316)*(Purchase!$A$1:$A$500&lt;=A316)),Purchase!$G$1:$G$500)</f>
        <v/>
      </c>
      <c r="G316" s="23">
        <f>+D316*F316</f>
        <v/>
      </c>
    </row>
    <row r="317">
      <c r="A317" s="8" t="n"/>
      <c r="B317" s="8" t="n"/>
      <c r="C317" s="21" t="n"/>
      <c r="D317" s="22" t="n"/>
      <c r="E317" s="22">
        <f>IFERROR(+VLOOKUP(C317,Master!B:C,2,0),"")</f>
        <v/>
      </c>
      <c r="F317" s="23">
        <f>LOOKUP(2,1/((Purchase!$D$1:$D$500=C317)*(Purchase!$A$1:$A$500&lt;=A317)),Purchase!$G$1:$G$500)</f>
        <v/>
      </c>
      <c r="G317" s="23">
        <f>+D317*F317</f>
        <v/>
      </c>
    </row>
    <row r="318">
      <c r="A318" s="8" t="n"/>
      <c r="B318" s="8" t="n"/>
      <c r="C318" s="21" t="n"/>
      <c r="D318" s="22" t="n"/>
      <c r="E318" s="22">
        <f>IFERROR(+VLOOKUP(C318,Master!B:C,2,0),"")</f>
        <v/>
      </c>
      <c r="F318" s="23">
        <f>LOOKUP(2,1/((Purchase!$D$1:$D$500=C318)*(Purchase!$A$1:$A$500&lt;=A318)),Purchase!$G$1:$G$500)</f>
        <v/>
      </c>
      <c r="G318" s="23">
        <f>+D318*F318</f>
        <v/>
      </c>
    </row>
    <row r="319">
      <c r="A319" s="8" t="n"/>
      <c r="B319" s="8" t="n"/>
      <c r="C319" s="21" t="n"/>
      <c r="D319" s="22" t="n"/>
      <c r="E319" s="22">
        <f>IFERROR(+VLOOKUP(C319,Master!B:C,2,0),"")</f>
        <v/>
      </c>
      <c r="F319" s="23">
        <f>LOOKUP(2,1/((Purchase!$D$1:$D$500=C319)*(Purchase!$A$1:$A$500&lt;=A319)),Purchase!$G$1:$G$500)</f>
        <v/>
      </c>
      <c r="G319" s="23">
        <f>+D319*F319</f>
        <v/>
      </c>
    </row>
    <row r="320">
      <c r="A320" s="8" t="n"/>
      <c r="B320" s="8" t="n"/>
      <c r="C320" s="21" t="n"/>
      <c r="D320" s="22" t="n"/>
      <c r="E320" s="22">
        <f>IFERROR(+VLOOKUP(C320,Master!B:C,2,0),"")</f>
        <v/>
      </c>
      <c r="F320" s="23">
        <f>LOOKUP(2,1/((Purchase!$D$1:$D$500=C320)*(Purchase!$A$1:$A$500&lt;=A320)),Purchase!$G$1:$G$500)</f>
        <v/>
      </c>
      <c r="G320" s="23">
        <f>+D320*F320</f>
        <v/>
      </c>
    </row>
    <row r="321">
      <c r="A321" s="8" t="n"/>
      <c r="B321" s="8" t="n"/>
      <c r="C321" s="21" t="n"/>
      <c r="D321" s="22" t="n"/>
      <c r="E321" s="22">
        <f>IFERROR(+VLOOKUP(C321,Master!B:C,2,0),"")</f>
        <v/>
      </c>
      <c r="F321" s="23">
        <f>LOOKUP(2,1/((Purchase!$D$1:$D$500=C321)*(Purchase!$A$1:$A$500&lt;=A321)),Purchase!$G$1:$G$500)</f>
        <v/>
      </c>
      <c r="G321" s="23">
        <f>+D321*F321</f>
        <v/>
      </c>
    </row>
    <row r="322">
      <c r="A322" s="8" t="n"/>
      <c r="B322" s="8" t="n"/>
      <c r="C322" s="21" t="n"/>
      <c r="D322" s="22" t="n"/>
      <c r="E322" s="22">
        <f>IFERROR(+VLOOKUP(C322,Master!B:C,2,0),"")</f>
        <v/>
      </c>
      <c r="F322" s="23">
        <f>LOOKUP(2,1/((Purchase!$D$1:$D$500=C322)*(Purchase!$A$1:$A$500&lt;=A322)),Purchase!$G$1:$G$500)</f>
        <v/>
      </c>
      <c r="G322" s="23">
        <f>+D322*F322</f>
        <v/>
      </c>
    </row>
    <row r="323">
      <c r="A323" s="8" t="n"/>
      <c r="B323" s="8" t="n"/>
      <c r="C323" s="21" t="n"/>
      <c r="D323" s="22" t="n"/>
      <c r="E323" s="22">
        <f>IFERROR(+VLOOKUP(C323,Master!B:C,2,0),"")</f>
        <v/>
      </c>
      <c r="F323" s="23">
        <f>LOOKUP(2,1/((Purchase!$D$1:$D$500=C323)*(Purchase!$A$1:$A$500&lt;=A323)),Purchase!$G$1:$G$500)</f>
        <v/>
      </c>
      <c r="G323" s="23">
        <f>+D323*F323</f>
        <v/>
      </c>
    </row>
    <row r="324">
      <c r="A324" s="8" t="n"/>
      <c r="B324" s="8" t="n"/>
      <c r="C324" s="21" t="n"/>
      <c r="D324" s="22" t="n"/>
      <c r="E324" s="22">
        <f>IFERROR(+VLOOKUP(C324,Master!B:C,2,0),"")</f>
        <v/>
      </c>
      <c r="F324" s="23">
        <f>LOOKUP(2,1/((Purchase!$D$1:$D$500=C324)*(Purchase!$A$1:$A$500&lt;=A324)),Purchase!$G$1:$G$500)</f>
        <v/>
      </c>
      <c r="G324" s="23">
        <f>+D324*F324</f>
        <v/>
      </c>
    </row>
    <row r="325">
      <c r="A325" s="8" t="n"/>
      <c r="B325" s="8" t="n"/>
      <c r="C325" s="21" t="n"/>
      <c r="D325" s="22" t="n"/>
      <c r="E325" s="22">
        <f>IFERROR(+VLOOKUP(C325,Master!B:C,2,0),"")</f>
        <v/>
      </c>
      <c r="F325" s="23">
        <f>LOOKUP(2,1/((Purchase!$D$1:$D$500=C325)*(Purchase!$A$1:$A$500&lt;=A325)),Purchase!$G$1:$G$500)</f>
        <v/>
      </c>
      <c r="G325" s="23">
        <f>+D325*F325</f>
        <v/>
      </c>
    </row>
    <row r="326">
      <c r="A326" s="8" t="n"/>
      <c r="B326" s="8" t="n"/>
      <c r="C326" s="21" t="n"/>
      <c r="D326" s="22" t="n"/>
      <c r="E326" s="22">
        <f>IFERROR(+VLOOKUP(C326,Master!B:C,2,0),"")</f>
        <v/>
      </c>
      <c r="F326" s="23">
        <f>LOOKUP(2,1/((Purchase!$D$1:$D$500=C326)*(Purchase!$A$1:$A$500&lt;=A326)),Purchase!$G$1:$G$500)</f>
        <v/>
      </c>
      <c r="G326" s="23">
        <f>+D326*F326</f>
        <v/>
      </c>
    </row>
    <row r="327">
      <c r="A327" s="8" t="n"/>
      <c r="B327" s="8" t="n"/>
      <c r="C327" s="21" t="n"/>
      <c r="D327" s="22" t="n"/>
      <c r="E327" s="22">
        <f>IFERROR(+VLOOKUP(C327,Master!B:C,2,0),"")</f>
        <v/>
      </c>
      <c r="F327" s="23">
        <f>LOOKUP(2,1/((Purchase!$D$1:$D$500=C327)*(Purchase!$A$1:$A$500&lt;=A327)),Purchase!$G$1:$G$500)</f>
        <v/>
      </c>
      <c r="G327" s="23">
        <f>+D327*F327</f>
        <v/>
      </c>
    </row>
    <row r="328">
      <c r="A328" s="8" t="n"/>
      <c r="B328" s="8" t="n"/>
      <c r="C328" s="21" t="n"/>
      <c r="D328" s="22" t="n"/>
      <c r="E328" s="22">
        <f>IFERROR(+VLOOKUP(C328,Master!B:C,2,0),"")</f>
        <v/>
      </c>
      <c r="F328" s="23">
        <f>LOOKUP(2,1/((Purchase!$D$1:$D$500=C328)*(Purchase!$A$1:$A$500&lt;=A328)),Purchase!$G$1:$G$500)</f>
        <v/>
      </c>
      <c r="G328" s="23">
        <f>+D328*F328</f>
        <v/>
      </c>
    </row>
    <row r="329">
      <c r="A329" s="8" t="n"/>
      <c r="B329" s="8" t="n"/>
      <c r="C329" s="21" t="n"/>
      <c r="D329" s="22" t="n"/>
      <c r="E329" s="22">
        <f>IFERROR(+VLOOKUP(C329,Master!B:C,2,0),"")</f>
        <v/>
      </c>
      <c r="F329" s="23">
        <f>LOOKUP(2,1/((Purchase!$D$1:$D$500=C329)*(Purchase!$A$1:$A$500&lt;=A329)),Purchase!$G$1:$G$500)</f>
        <v/>
      </c>
      <c r="G329" s="23">
        <f>+D329*F329</f>
        <v/>
      </c>
    </row>
    <row r="330">
      <c r="A330" s="8" t="n"/>
      <c r="B330" s="8" t="n"/>
      <c r="C330" s="21" t="n"/>
      <c r="D330" s="22" t="n"/>
      <c r="E330" s="22">
        <f>IFERROR(+VLOOKUP(C330,Master!B:C,2,0),"")</f>
        <v/>
      </c>
      <c r="F330" s="23">
        <f>LOOKUP(2,1/((Purchase!$D$1:$D$500=C330)*(Purchase!$A$1:$A$500&lt;=A330)),Purchase!$G$1:$G$500)</f>
        <v/>
      </c>
      <c r="G330" s="23">
        <f>+D330*F330</f>
        <v/>
      </c>
    </row>
    <row r="331">
      <c r="A331" s="8" t="n"/>
      <c r="B331" s="8" t="n"/>
      <c r="C331" s="21" t="n"/>
      <c r="D331" s="22" t="n"/>
      <c r="E331" s="22">
        <f>IFERROR(+VLOOKUP(C331,Master!B:C,2,0),"")</f>
        <v/>
      </c>
      <c r="F331" s="23">
        <f>LOOKUP(2,1/((Purchase!$D$1:$D$500=C331)*(Purchase!$A$1:$A$500&lt;=A331)),Purchase!$G$1:$G$500)</f>
        <v/>
      </c>
      <c r="G331" s="23">
        <f>+D331*F331</f>
        <v/>
      </c>
    </row>
    <row r="332">
      <c r="A332" s="8" t="n"/>
      <c r="B332" s="8" t="n"/>
      <c r="C332" s="21" t="n"/>
      <c r="D332" s="22" t="n"/>
      <c r="E332" s="22">
        <f>IFERROR(+VLOOKUP(C332,Master!B:C,2,0),"")</f>
        <v/>
      </c>
      <c r="F332" s="23">
        <f>LOOKUP(2,1/((Purchase!$D$1:$D$500=C332)*(Purchase!$A$1:$A$500&lt;=A332)),Purchase!$G$1:$G$500)</f>
        <v/>
      </c>
      <c r="G332" s="23">
        <f>+D332*F332</f>
        <v/>
      </c>
    </row>
    <row r="333">
      <c r="A333" s="8" t="n"/>
      <c r="B333" s="8" t="n"/>
      <c r="C333" s="21" t="n"/>
      <c r="D333" s="22" t="n"/>
      <c r="E333" s="22">
        <f>IFERROR(+VLOOKUP(C333,Master!B:C,2,0),"")</f>
        <v/>
      </c>
      <c r="F333" s="23">
        <f>LOOKUP(2,1/((Purchase!$D$1:$D$500=C333)*(Purchase!$A$1:$A$500&lt;=A333)),Purchase!$G$1:$G$500)</f>
        <v/>
      </c>
      <c r="G333" s="23">
        <f>+D333*F333</f>
        <v/>
      </c>
    </row>
    <row r="334">
      <c r="A334" s="8" t="n"/>
      <c r="B334" s="8" t="n"/>
      <c r="C334" s="21" t="n"/>
      <c r="D334" s="22" t="n"/>
      <c r="E334" s="22">
        <f>IFERROR(+VLOOKUP(C334,Master!B:C,2,0),"")</f>
        <v/>
      </c>
      <c r="F334" s="23">
        <f>LOOKUP(2,1/((Purchase!$D$1:$D$500=C334)*(Purchase!$A$1:$A$500&lt;=A334)),Purchase!$G$1:$G$500)</f>
        <v/>
      </c>
      <c r="G334" s="23">
        <f>+D334*F334</f>
        <v/>
      </c>
    </row>
    <row r="335">
      <c r="A335" s="8" t="n"/>
      <c r="B335" s="8" t="n"/>
      <c r="C335" s="21" t="n"/>
      <c r="D335" s="22" t="n"/>
      <c r="E335" s="22">
        <f>IFERROR(+VLOOKUP(C335,Master!B:C,2,0),"")</f>
        <v/>
      </c>
      <c r="F335" s="23">
        <f>LOOKUP(2,1/((Purchase!$D$1:$D$500=C335)*(Purchase!$A$1:$A$500&lt;=A335)),Purchase!$G$1:$G$500)</f>
        <v/>
      </c>
      <c r="G335" s="23">
        <f>+D335*F335</f>
        <v/>
      </c>
    </row>
    <row r="336">
      <c r="A336" s="8" t="n"/>
      <c r="B336" s="8" t="n"/>
      <c r="C336" s="21" t="n"/>
      <c r="D336" s="22" t="n"/>
      <c r="E336" s="22">
        <f>IFERROR(+VLOOKUP(C336,Master!B:C,2,0),"")</f>
        <v/>
      </c>
      <c r="F336" s="23">
        <f>LOOKUP(2,1/((Purchase!$D$1:$D$500=C336)*(Purchase!$A$1:$A$500&lt;=A336)),Purchase!$G$1:$G$500)</f>
        <v/>
      </c>
      <c r="G336" s="23">
        <f>+D336*F336</f>
        <v/>
      </c>
    </row>
    <row r="337">
      <c r="A337" s="8" t="n"/>
      <c r="B337" s="8" t="n"/>
      <c r="C337" s="21" t="n"/>
      <c r="D337" s="22" t="n"/>
      <c r="E337" s="22">
        <f>IFERROR(+VLOOKUP(C337,Master!B:C,2,0),"")</f>
        <v/>
      </c>
      <c r="F337" s="23">
        <f>LOOKUP(2,1/((Purchase!$D$1:$D$500=C337)*(Purchase!$A$1:$A$500&lt;=A337)),Purchase!$G$1:$G$500)</f>
        <v/>
      </c>
      <c r="G337" s="23">
        <f>+D337*F337</f>
        <v/>
      </c>
    </row>
    <row r="338">
      <c r="A338" s="8" t="n"/>
      <c r="B338" s="8" t="n"/>
      <c r="C338" s="21" t="n"/>
      <c r="D338" s="22" t="n"/>
      <c r="E338" s="22">
        <f>IFERROR(+VLOOKUP(C338,Master!B:C,2,0),"")</f>
        <v/>
      </c>
      <c r="F338" s="23">
        <f>LOOKUP(2,1/((Purchase!$D$1:$D$500=C338)*(Purchase!$A$1:$A$500&lt;=A338)),Purchase!$G$1:$G$500)</f>
        <v/>
      </c>
      <c r="G338" s="23">
        <f>+D338*F338</f>
        <v/>
      </c>
    </row>
    <row r="339">
      <c r="A339" s="8" t="n"/>
      <c r="B339" s="8" t="n"/>
      <c r="C339" s="21" t="n"/>
      <c r="D339" s="22" t="n"/>
      <c r="E339" s="22">
        <f>IFERROR(+VLOOKUP(C339,Master!B:C,2,0),"")</f>
        <v/>
      </c>
      <c r="F339" s="23">
        <f>LOOKUP(2,1/((Purchase!$D$1:$D$500=C339)*(Purchase!$A$1:$A$500&lt;=A339)),Purchase!$G$1:$G$500)</f>
        <v/>
      </c>
      <c r="G339" s="23">
        <f>+D339*F339</f>
        <v/>
      </c>
    </row>
    <row r="340">
      <c r="A340" s="8" t="n"/>
      <c r="B340" s="8" t="n"/>
      <c r="C340" s="21" t="n"/>
      <c r="D340" s="22" t="n"/>
      <c r="E340" s="22">
        <f>IFERROR(+VLOOKUP(C340,Master!B:C,2,0),"")</f>
        <v/>
      </c>
      <c r="F340" s="23">
        <f>LOOKUP(2,1/((Purchase!$D$1:$D$500=C340)*(Purchase!$A$1:$A$500&lt;=A340)),Purchase!$G$1:$G$500)</f>
        <v/>
      </c>
      <c r="G340" s="23">
        <f>+D340*F340</f>
        <v/>
      </c>
    </row>
    <row r="341">
      <c r="A341" s="8" t="n"/>
      <c r="B341" s="8" t="n"/>
      <c r="C341" s="21" t="n"/>
      <c r="D341" s="22" t="n"/>
      <c r="E341" s="22">
        <f>IFERROR(+VLOOKUP(C341,Master!B:C,2,0),"")</f>
        <v/>
      </c>
      <c r="F341" s="23">
        <f>LOOKUP(2,1/((Purchase!$D$1:$D$500=C341)*(Purchase!$A$1:$A$500&lt;=A341)),Purchase!$G$1:$G$500)</f>
        <v/>
      </c>
      <c r="G341" s="23">
        <f>+D341*F341</f>
        <v/>
      </c>
    </row>
    <row r="342">
      <c r="A342" s="8" t="n"/>
      <c r="B342" s="8" t="n"/>
      <c r="C342" s="21" t="n"/>
      <c r="D342" s="22" t="n"/>
      <c r="E342" s="22">
        <f>IFERROR(+VLOOKUP(C342,Master!B:C,2,0),"")</f>
        <v/>
      </c>
      <c r="F342" s="23">
        <f>LOOKUP(2,1/((Purchase!$D$1:$D$500=C342)*(Purchase!$A$1:$A$500&lt;=A342)),Purchase!$G$1:$G$500)</f>
        <v/>
      </c>
      <c r="G342" s="23">
        <f>+D342*F342</f>
        <v/>
      </c>
    </row>
    <row r="343">
      <c r="A343" s="8" t="n"/>
      <c r="B343" s="8" t="n"/>
      <c r="C343" s="21" t="n"/>
      <c r="D343" s="22" t="n"/>
      <c r="E343" s="22">
        <f>IFERROR(+VLOOKUP(C343,Master!B:C,2,0),"")</f>
        <v/>
      </c>
      <c r="F343" s="23">
        <f>LOOKUP(2,1/((Purchase!$D$1:$D$500=C343)*(Purchase!$A$1:$A$500&lt;=A343)),Purchase!$G$1:$G$500)</f>
        <v/>
      </c>
      <c r="G343" s="23">
        <f>+D343*F343</f>
        <v/>
      </c>
    </row>
    <row r="344">
      <c r="A344" s="8" t="n"/>
      <c r="B344" s="8" t="n"/>
      <c r="C344" s="21" t="n"/>
      <c r="D344" s="22" t="n"/>
      <c r="E344" s="22">
        <f>IFERROR(+VLOOKUP(C344,Master!B:C,2,0),"")</f>
        <v/>
      </c>
      <c r="F344" s="23">
        <f>LOOKUP(2,1/((Purchase!$D$1:$D$500=C344)*(Purchase!$A$1:$A$500&lt;=A344)),Purchase!$G$1:$G$500)</f>
        <v/>
      </c>
      <c r="G344" s="23">
        <f>+D344*F344</f>
        <v/>
      </c>
    </row>
    <row r="345">
      <c r="A345" s="8" t="n"/>
      <c r="B345" s="8" t="n"/>
      <c r="C345" s="21" t="n"/>
      <c r="D345" s="22" t="n"/>
      <c r="E345" s="22">
        <f>IFERROR(+VLOOKUP(C345,Master!B:C,2,0),"")</f>
        <v/>
      </c>
      <c r="F345" s="23">
        <f>LOOKUP(2,1/((Purchase!$D$1:$D$500=C345)*(Purchase!$A$1:$A$500&lt;=A345)),Purchase!$G$1:$G$500)</f>
        <v/>
      </c>
      <c r="G345" s="23">
        <f>+D345*F345</f>
        <v/>
      </c>
    </row>
    <row r="346">
      <c r="A346" s="8" t="n"/>
      <c r="B346" s="8" t="n"/>
      <c r="C346" s="21" t="n"/>
      <c r="D346" s="22" t="n"/>
      <c r="E346" s="22">
        <f>IFERROR(+VLOOKUP(C346,Master!B:C,2,0),"")</f>
        <v/>
      </c>
      <c r="F346" s="23">
        <f>LOOKUP(2,1/((Purchase!$D$1:$D$500=C346)*(Purchase!$A$1:$A$500&lt;=A346)),Purchase!$G$1:$G$500)</f>
        <v/>
      </c>
      <c r="G346" s="23">
        <f>+D346*F346</f>
        <v/>
      </c>
    </row>
    <row r="347">
      <c r="A347" s="8" t="n"/>
      <c r="B347" s="8" t="n"/>
      <c r="C347" s="21" t="n"/>
      <c r="D347" s="22" t="n"/>
      <c r="E347" s="22">
        <f>IFERROR(+VLOOKUP(C347,Master!B:C,2,0),"")</f>
        <v/>
      </c>
      <c r="F347" s="23">
        <f>LOOKUP(2,1/((Purchase!$D$1:$D$500=C347)*(Purchase!$A$1:$A$500&lt;=A347)),Purchase!$G$1:$G$500)</f>
        <v/>
      </c>
      <c r="G347" s="23">
        <f>+D347*F347</f>
        <v/>
      </c>
    </row>
    <row r="348">
      <c r="A348" s="8" t="n"/>
      <c r="B348" s="8" t="n"/>
      <c r="C348" s="21" t="n"/>
      <c r="D348" s="22" t="n"/>
      <c r="E348" s="22">
        <f>IFERROR(+VLOOKUP(C348,Master!B:C,2,0),"")</f>
        <v/>
      </c>
      <c r="F348" s="23">
        <f>LOOKUP(2,1/((Purchase!$D$1:$D$500=C348)*(Purchase!$A$1:$A$500&lt;=A348)),Purchase!$G$1:$G$500)</f>
        <v/>
      </c>
      <c r="G348" s="23">
        <f>+D348*F348</f>
        <v/>
      </c>
    </row>
    <row r="349">
      <c r="A349" s="8" t="n"/>
      <c r="B349" s="8" t="n"/>
      <c r="C349" s="21" t="n"/>
      <c r="D349" s="22" t="n"/>
      <c r="E349" s="22">
        <f>IFERROR(+VLOOKUP(C349,Master!B:C,2,0),"")</f>
        <v/>
      </c>
      <c r="F349" s="23">
        <f>LOOKUP(2,1/((Purchase!$D$1:$D$500=C349)*(Purchase!$A$1:$A$500&lt;=A349)),Purchase!$G$1:$G$500)</f>
        <v/>
      </c>
      <c r="G349" s="23">
        <f>+D349*F349</f>
        <v/>
      </c>
    </row>
    <row r="350">
      <c r="A350" s="8" t="n"/>
      <c r="B350" s="8" t="n"/>
      <c r="C350" s="21" t="n"/>
      <c r="D350" s="22" t="n"/>
      <c r="E350" s="22">
        <f>IFERROR(+VLOOKUP(C350,Master!B:C,2,0),"")</f>
        <v/>
      </c>
      <c r="F350" s="23">
        <f>LOOKUP(2,1/((Purchase!$D$1:$D$500=C350)*(Purchase!$A$1:$A$500&lt;=A350)),Purchase!$G$1:$G$500)</f>
        <v/>
      </c>
      <c r="G350" s="23">
        <f>+D350*F350</f>
        <v/>
      </c>
    </row>
    <row r="351">
      <c r="A351" s="8" t="n"/>
      <c r="B351" s="8" t="n"/>
      <c r="C351" s="21" t="n"/>
      <c r="D351" s="22" t="n"/>
      <c r="E351" s="22">
        <f>IFERROR(+VLOOKUP(C351,Master!B:C,2,0),"")</f>
        <v/>
      </c>
      <c r="F351" s="23">
        <f>LOOKUP(2,1/((Purchase!$D$1:$D$500=C351)*(Purchase!$A$1:$A$500&lt;=A351)),Purchase!$G$1:$G$500)</f>
        <v/>
      </c>
      <c r="G351" s="23">
        <f>+D351*F351</f>
        <v/>
      </c>
    </row>
    <row r="352">
      <c r="A352" s="8" t="n"/>
      <c r="B352" s="8" t="n"/>
      <c r="C352" s="21" t="n"/>
      <c r="D352" s="22" t="n"/>
      <c r="E352" s="22">
        <f>IFERROR(+VLOOKUP(C352,Master!B:C,2,0),"")</f>
        <v/>
      </c>
      <c r="F352" s="23">
        <f>LOOKUP(2,1/((Purchase!$D$1:$D$500=C352)*(Purchase!$A$1:$A$500&lt;=A352)),Purchase!$G$1:$G$500)</f>
        <v/>
      </c>
      <c r="G352" s="23">
        <f>+D352*F352</f>
        <v/>
      </c>
    </row>
    <row r="353">
      <c r="A353" s="8" t="n"/>
      <c r="B353" s="8" t="n"/>
      <c r="C353" s="21" t="n"/>
      <c r="D353" s="22" t="n"/>
      <c r="E353" s="22">
        <f>IFERROR(+VLOOKUP(C353,Master!B:C,2,0),"")</f>
        <v/>
      </c>
      <c r="F353" s="23">
        <f>LOOKUP(2,1/((Purchase!$D$1:$D$500=C353)*(Purchase!$A$1:$A$500&lt;=A353)),Purchase!$G$1:$G$500)</f>
        <v/>
      </c>
      <c r="G353" s="23">
        <f>+D353*F353</f>
        <v/>
      </c>
    </row>
    <row r="354">
      <c r="A354" s="8" t="n"/>
      <c r="B354" s="8" t="n"/>
      <c r="C354" s="21" t="n"/>
      <c r="D354" s="22" t="n"/>
      <c r="E354" s="22">
        <f>IFERROR(+VLOOKUP(C354,Master!B:C,2,0),"")</f>
        <v/>
      </c>
      <c r="F354" s="23">
        <f>LOOKUP(2,1/((Purchase!$D$1:$D$500=C354)*(Purchase!$A$1:$A$500&lt;=A354)),Purchase!$G$1:$G$500)</f>
        <v/>
      </c>
      <c r="G354" s="23">
        <f>+D354*F354</f>
        <v/>
      </c>
    </row>
    <row r="355">
      <c r="A355" s="8" t="n"/>
      <c r="B355" s="8" t="n"/>
      <c r="C355" s="21" t="n"/>
      <c r="D355" s="22" t="n"/>
      <c r="E355" s="22">
        <f>IFERROR(+VLOOKUP(C355,Master!B:C,2,0),"")</f>
        <v/>
      </c>
      <c r="F355" s="23">
        <f>LOOKUP(2,1/((Purchase!$D$1:$D$500=C355)*(Purchase!$A$1:$A$500&lt;=A355)),Purchase!$G$1:$G$500)</f>
        <v/>
      </c>
      <c r="G355" s="23">
        <f>+D355*F355</f>
        <v/>
      </c>
    </row>
    <row r="356">
      <c r="A356" s="8" t="n"/>
      <c r="B356" s="8" t="n"/>
      <c r="C356" s="21" t="n"/>
      <c r="D356" s="22" t="n"/>
      <c r="E356" s="22">
        <f>IFERROR(+VLOOKUP(C356,Master!B:C,2,0),"")</f>
        <v/>
      </c>
      <c r="F356" s="23">
        <f>LOOKUP(2,1/((Purchase!$D$1:$D$500=C356)*(Purchase!$A$1:$A$500&lt;=A356)),Purchase!$G$1:$G$500)</f>
        <v/>
      </c>
      <c r="G356" s="23">
        <f>+D356*F356</f>
        <v/>
      </c>
    </row>
    <row r="357">
      <c r="A357" s="8" t="n"/>
      <c r="B357" s="8" t="n"/>
      <c r="C357" s="21" t="n"/>
      <c r="D357" s="22" t="n"/>
      <c r="E357" s="22">
        <f>IFERROR(+VLOOKUP(C357,Master!B:C,2,0),"")</f>
        <v/>
      </c>
      <c r="F357" s="23">
        <f>LOOKUP(2,1/((Purchase!$D$1:$D$500=C357)*(Purchase!$A$1:$A$500&lt;=A357)),Purchase!$G$1:$G$500)</f>
        <v/>
      </c>
      <c r="G357" s="23">
        <f>+D357*F357</f>
        <v/>
      </c>
    </row>
    <row r="358">
      <c r="A358" s="8" t="n"/>
      <c r="B358" s="8" t="n"/>
      <c r="C358" s="21" t="n"/>
      <c r="D358" s="22" t="n"/>
      <c r="E358" s="22">
        <f>IFERROR(+VLOOKUP(C358,Master!B:C,2,0),"")</f>
        <v/>
      </c>
      <c r="F358" s="23">
        <f>LOOKUP(2,1/((Purchase!$D$1:$D$500=C358)*(Purchase!$A$1:$A$500&lt;=A358)),Purchase!$G$1:$G$500)</f>
        <v/>
      </c>
      <c r="G358" s="23">
        <f>+D358*F358</f>
        <v/>
      </c>
    </row>
    <row r="359">
      <c r="A359" s="8" t="n"/>
      <c r="B359" s="8" t="n"/>
      <c r="C359" s="21" t="n"/>
      <c r="D359" s="22" t="n"/>
      <c r="E359" s="22">
        <f>IFERROR(+VLOOKUP(C359,Master!B:C,2,0),"")</f>
        <v/>
      </c>
      <c r="F359" s="23">
        <f>LOOKUP(2,1/((Purchase!$D$1:$D$500=C359)*(Purchase!$A$1:$A$500&lt;=A359)),Purchase!$G$1:$G$500)</f>
        <v/>
      </c>
      <c r="G359" s="23">
        <f>+D359*F359</f>
        <v/>
      </c>
    </row>
    <row r="360">
      <c r="A360" s="8" t="n"/>
      <c r="B360" s="8" t="n"/>
      <c r="C360" s="21" t="n"/>
      <c r="D360" s="22" t="n"/>
      <c r="E360" s="22">
        <f>IFERROR(+VLOOKUP(C360,Master!B:C,2,0),"")</f>
        <v/>
      </c>
      <c r="F360" s="23">
        <f>LOOKUP(2,1/((Purchase!$D$1:$D$500=C360)*(Purchase!$A$1:$A$500&lt;=A360)),Purchase!$G$1:$G$500)</f>
        <v/>
      </c>
      <c r="G360" s="23">
        <f>+D360*F360</f>
        <v/>
      </c>
    </row>
    <row r="361">
      <c r="A361" s="8" t="n"/>
      <c r="B361" s="8" t="n"/>
      <c r="C361" s="21" t="n"/>
      <c r="D361" s="22" t="n"/>
      <c r="E361" s="22">
        <f>IFERROR(+VLOOKUP(C361,Master!B:C,2,0),"")</f>
        <v/>
      </c>
      <c r="F361" s="23">
        <f>LOOKUP(2,1/((Purchase!$D$1:$D$500=C361)*(Purchase!$A$1:$A$500&lt;=A361)),Purchase!$G$1:$G$500)</f>
        <v/>
      </c>
      <c r="G361" s="23">
        <f>+D361*F361</f>
        <v/>
      </c>
    </row>
    <row r="362">
      <c r="A362" s="8" t="n"/>
      <c r="B362" s="8" t="n"/>
      <c r="C362" s="21" t="n"/>
      <c r="D362" s="22" t="n"/>
      <c r="E362" s="22">
        <f>IFERROR(+VLOOKUP(C362,Master!B:C,2,0),"")</f>
        <v/>
      </c>
      <c r="F362" s="23">
        <f>LOOKUP(2,1/((Purchase!$D$1:$D$500=C362)*(Purchase!$A$1:$A$500&lt;=A362)),Purchase!$G$1:$G$500)</f>
        <v/>
      </c>
      <c r="G362" s="23">
        <f>+D362*F362</f>
        <v/>
      </c>
    </row>
    <row r="363">
      <c r="A363" s="8" t="n"/>
      <c r="B363" s="8" t="n"/>
      <c r="C363" s="21" t="n"/>
      <c r="D363" s="22" t="n"/>
      <c r="E363" s="22">
        <f>IFERROR(+VLOOKUP(C363,Master!B:C,2,0),"")</f>
        <v/>
      </c>
      <c r="F363" s="23">
        <f>LOOKUP(2,1/((Purchase!$D$1:$D$500=C363)*(Purchase!$A$1:$A$500&lt;=A363)),Purchase!$G$1:$G$500)</f>
        <v/>
      </c>
      <c r="G363" s="23">
        <f>+D363*F363</f>
        <v/>
      </c>
    </row>
    <row r="364">
      <c r="A364" s="8" t="n"/>
      <c r="B364" s="8" t="n"/>
      <c r="C364" s="21" t="n"/>
      <c r="D364" s="22" t="n"/>
      <c r="E364" s="22">
        <f>IFERROR(+VLOOKUP(C364,Master!B:C,2,0),"")</f>
        <v/>
      </c>
      <c r="F364" s="23">
        <f>LOOKUP(2,1/((Purchase!$D$1:$D$500=C364)*(Purchase!$A$1:$A$500&lt;=A364)),Purchase!$G$1:$G$500)</f>
        <v/>
      </c>
      <c r="G364" s="23">
        <f>+D364*F364</f>
        <v/>
      </c>
    </row>
    <row r="365">
      <c r="A365" s="8" t="n"/>
      <c r="B365" s="8" t="n"/>
      <c r="C365" s="21" t="n"/>
      <c r="D365" s="22" t="n"/>
      <c r="E365" s="22">
        <f>IFERROR(+VLOOKUP(C365,Master!B:C,2,0),"")</f>
        <v/>
      </c>
      <c r="F365" s="23">
        <f>LOOKUP(2,1/((Purchase!$D$1:$D$500=C365)*(Purchase!$A$1:$A$500&lt;=A365)),Purchase!$G$1:$G$500)</f>
        <v/>
      </c>
      <c r="G365" s="23">
        <f>+D365*F365</f>
        <v/>
      </c>
    </row>
    <row r="366">
      <c r="A366" s="8" t="n"/>
      <c r="B366" s="8" t="n"/>
      <c r="C366" s="21" t="n"/>
      <c r="D366" s="22" t="n"/>
      <c r="E366" s="22">
        <f>IFERROR(+VLOOKUP(C366,Master!B:C,2,0),"")</f>
        <v/>
      </c>
      <c r="F366" s="23">
        <f>LOOKUP(2,1/((Purchase!$D$1:$D$500=C366)*(Purchase!$A$1:$A$500&lt;=A366)),Purchase!$G$1:$G$500)</f>
        <v/>
      </c>
      <c r="G366" s="23">
        <f>+D366*F366</f>
        <v/>
      </c>
    </row>
    <row r="367">
      <c r="A367" s="8" t="n"/>
      <c r="B367" s="8" t="n"/>
      <c r="C367" s="21" t="n"/>
      <c r="D367" s="22" t="n"/>
      <c r="E367" s="22">
        <f>IFERROR(+VLOOKUP(C367,Master!B:C,2,0),"")</f>
        <v/>
      </c>
      <c r="F367" s="23">
        <f>LOOKUP(2,1/((Purchase!$D$1:$D$500=C367)*(Purchase!$A$1:$A$500&lt;=A367)),Purchase!$G$1:$G$500)</f>
        <v/>
      </c>
      <c r="G367" s="23">
        <f>+D367*F367</f>
        <v/>
      </c>
    </row>
    <row r="368">
      <c r="A368" s="8" t="n"/>
      <c r="B368" s="8" t="n"/>
      <c r="C368" s="21" t="n"/>
      <c r="D368" s="22" t="n"/>
      <c r="E368" s="22">
        <f>IFERROR(+VLOOKUP(C368,Master!B:C,2,0),"")</f>
        <v/>
      </c>
      <c r="F368" s="23">
        <f>LOOKUP(2,1/((Purchase!$D$1:$D$500=C368)*(Purchase!$A$1:$A$500&lt;=A368)),Purchase!$G$1:$G$500)</f>
        <v/>
      </c>
      <c r="G368" s="23">
        <f>+D368*F368</f>
        <v/>
      </c>
    </row>
    <row r="369">
      <c r="A369" s="8" t="n"/>
      <c r="B369" s="8" t="n"/>
      <c r="C369" s="21" t="n"/>
      <c r="D369" s="22" t="n"/>
      <c r="E369" s="22">
        <f>IFERROR(+VLOOKUP(C369,Master!B:C,2,0),"")</f>
        <v/>
      </c>
      <c r="F369" s="23">
        <f>LOOKUP(2,1/((Purchase!$D$1:$D$500=C369)*(Purchase!$A$1:$A$500&lt;=A369)),Purchase!$G$1:$G$500)</f>
        <v/>
      </c>
      <c r="G369" s="23">
        <f>+D369*F369</f>
        <v/>
      </c>
    </row>
    <row r="370">
      <c r="A370" s="8" t="n"/>
      <c r="B370" s="8" t="n"/>
      <c r="C370" s="21" t="n"/>
      <c r="D370" s="22" t="n"/>
      <c r="E370" s="22">
        <f>IFERROR(+VLOOKUP(C370,Master!B:C,2,0),"")</f>
        <v/>
      </c>
      <c r="F370" s="23">
        <f>LOOKUP(2,1/((Purchase!$D$1:$D$500=C370)*(Purchase!$A$1:$A$500&lt;=A370)),Purchase!$G$1:$G$500)</f>
        <v/>
      </c>
      <c r="G370" s="23">
        <f>+D370*F370</f>
        <v/>
      </c>
    </row>
    <row r="371">
      <c r="A371" s="8" t="n"/>
      <c r="B371" s="8" t="n"/>
      <c r="C371" s="21" t="n"/>
      <c r="D371" s="22" t="n"/>
      <c r="E371" s="22">
        <f>IFERROR(+VLOOKUP(C371,Master!B:C,2,0),"")</f>
        <v/>
      </c>
      <c r="F371" s="23">
        <f>LOOKUP(2,1/((Purchase!$D$1:$D$500=C371)*(Purchase!$A$1:$A$500&lt;=A371)),Purchase!$G$1:$G$500)</f>
        <v/>
      </c>
      <c r="G371" s="23">
        <f>+D371*F371</f>
        <v/>
      </c>
    </row>
    <row r="372">
      <c r="A372" s="8" t="n"/>
      <c r="B372" s="8" t="n"/>
      <c r="C372" s="21" t="n"/>
      <c r="D372" s="22" t="n"/>
      <c r="E372" s="22">
        <f>IFERROR(+VLOOKUP(C372,Master!B:C,2,0),"")</f>
        <v/>
      </c>
      <c r="F372" s="23">
        <f>LOOKUP(2,1/((Purchase!$D$1:$D$500=C372)*(Purchase!$A$1:$A$500&lt;=A372)),Purchase!$G$1:$G$500)</f>
        <v/>
      </c>
      <c r="G372" s="23">
        <f>+D372*F372</f>
        <v/>
      </c>
    </row>
    <row r="373">
      <c r="A373" s="8" t="n"/>
      <c r="B373" s="8" t="n"/>
      <c r="C373" s="21" t="n"/>
      <c r="D373" s="22" t="n"/>
      <c r="E373" s="22">
        <f>IFERROR(+VLOOKUP(C373,Master!B:C,2,0),"")</f>
        <v/>
      </c>
      <c r="F373" s="23">
        <f>LOOKUP(2,1/((Purchase!$D$1:$D$500=C373)*(Purchase!$A$1:$A$500&lt;=A373)),Purchase!$G$1:$G$500)</f>
        <v/>
      </c>
      <c r="G373" s="23">
        <f>+D373*F373</f>
        <v/>
      </c>
    </row>
    <row r="374">
      <c r="A374" s="8" t="n"/>
      <c r="B374" s="8" t="n"/>
      <c r="C374" s="21" t="n"/>
      <c r="D374" s="22" t="n"/>
      <c r="E374" s="22">
        <f>IFERROR(+VLOOKUP(C374,Master!B:C,2,0),"")</f>
        <v/>
      </c>
      <c r="F374" s="23">
        <f>LOOKUP(2,1/((Purchase!$D$1:$D$500=C374)*(Purchase!$A$1:$A$500&lt;=A374)),Purchase!$G$1:$G$500)</f>
        <v/>
      </c>
      <c r="G374" s="23">
        <f>+D374*F374</f>
        <v/>
      </c>
    </row>
    <row r="375">
      <c r="A375" s="8" t="n"/>
      <c r="B375" s="8" t="n"/>
      <c r="C375" s="21" t="n"/>
      <c r="D375" s="22" t="n"/>
      <c r="E375" s="22">
        <f>IFERROR(+VLOOKUP(C375,Master!B:C,2,0),"")</f>
        <v/>
      </c>
      <c r="F375" s="23">
        <f>LOOKUP(2,1/((Purchase!$D$1:$D$500=C375)*(Purchase!$A$1:$A$500&lt;=A375)),Purchase!$G$1:$G$500)</f>
        <v/>
      </c>
      <c r="G375" s="23">
        <f>+D375*F375</f>
        <v/>
      </c>
    </row>
    <row r="376">
      <c r="A376" s="8" t="n"/>
      <c r="B376" s="8" t="n"/>
      <c r="C376" s="21" t="n"/>
      <c r="D376" s="22" t="n"/>
      <c r="E376" s="22">
        <f>IFERROR(+VLOOKUP(C376,Master!B:C,2,0),"")</f>
        <v/>
      </c>
      <c r="F376" s="23">
        <f>LOOKUP(2,1/((Purchase!$D$1:$D$500=C376)*(Purchase!$A$1:$A$500&lt;=A376)),Purchase!$G$1:$G$500)</f>
        <v/>
      </c>
      <c r="G376" s="23">
        <f>+D376*F376</f>
        <v/>
      </c>
    </row>
    <row r="377">
      <c r="A377" s="8" t="n"/>
      <c r="B377" s="8" t="n"/>
      <c r="C377" s="21" t="n"/>
      <c r="D377" s="22" t="n"/>
      <c r="E377" s="22">
        <f>IFERROR(+VLOOKUP(C377,Master!B:C,2,0),"")</f>
        <v/>
      </c>
      <c r="F377" s="23">
        <f>LOOKUP(2,1/((Purchase!$D$1:$D$500=C377)*(Purchase!$A$1:$A$500&lt;=A377)),Purchase!$G$1:$G$500)</f>
        <v/>
      </c>
      <c r="G377" s="23">
        <f>+D377*F377</f>
        <v/>
      </c>
    </row>
    <row r="378">
      <c r="A378" s="8" t="n"/>
      <c r="B378" s="8" t="n"/>
      <c r="C378" s="21" t="n"/>
      <c r="D378" s="22" t="n"/>
      <c r="E378" s="22">
        <f>IFERROR(+VLOOKUP(C378,Master!B:C,2,0),"")</f>
        <v/>
      </c>
      <c r="F378" s="23">
        <f>LOOKUP(2,1/((Purchase!$D$1:$D$500=C378)*(Purchase!$A$1:$A$500&lt;=A378)),Purchase!$G$1:$G$500)</f>
        <v/>
      </c>
      <c r="G378" s="23">
        <f>+D378*F378</f>
        <v/>
      </c>
    </row>
    <row r="379">
      <c r="A379" s="8" t="n"/>
      <c r="B379" s="8" t="n"/>
      <c r="C379" s="21" t="n"/>
      <c r="D379" s="22" t="n"/>
      <c r="E379" s="22">
        <f>IFERROR(+VLOOKUP(C379,Master!B:C,2,0),"")</f>
        <v/>
      </c>
      <c r="F379" s="23">
        <f>LOOKUP(2,1/((Purchase!$D$1:$D$500=C379)*(Purchase!$A$1:$A$500&lt;=A379)),Purchase!$G$1:$G$500)</f>
        <v/>
      </c>
      <c r="G379" s="23">
        <f>+D379*F379</f>
        <v/>
      </c>
    </row>
    <row r="380">
      <c r="A380" s="8" t="n"/>
      <c r="B380" s="8" t="n"/>
      <c r="C380" s="21" t="n"/>
      <c r="D380" s="22" t="n"/>
      <c r="E380" s="22">
        <f>IFERROR(+VLOOKUP(C380,Master!B:C,2,0),"")</f>
        <v/>
      </c>
      <c r="F380" s="23">
        <f>LOOKUP(2,1/((Purchase!$D$1:$D$500=C380)*(Purchase!$A$1:$A$500&lt;=A380)),Purchase!$G$1:$G$500)</f>
        <v/>
      </c>
      <c r="G380" s="23">
        <f>+D380*F380</f>
        <v/>
      </c>
    </row>
    <row r="381">
      <c r="A381" s="8" t="n"/>
      <c r="B381" s="8" t="n"/>
      <c r="C381" s="21" t="n"/>
      <c r="D381" s="22" t="n"/>
      <c r="E381" s="22">
        <f>IFERROR(+VLOOKUP(C381,Master!B:C,2,0),"")</f>
        <v/>
      </c>
      <c r="F381" s="23">
        <f>LOOKUP(2,1/((Purchase!$D$1:$D$500=C381)*(Purchase!$A$1:$A$500&lt;=A381)),Purchase!$G$1:$G$500)</f>
        <v/>
      </c>
      <c r="G381" s="23">
        <f>+D381*F381</f>
        <v/>
      </c>
    </row>
    <row r="382">
      <c r="A382" s="8" t="n"/>
      <c r="B382" s="8" t="n"/>
      <c r="C382" s="21" t="n"/>
      <c r="D382" s="22" t="n"/>
      <c r="E382" s="22">
        <f>IFERROR(+VLOOKUP(C382,Master!B:C,2,0),"")</f>
        <v/>
      </c>
      <c r="F382" s="23">
        <f>LOOKUP(2,1/((Purchase!$D$1:$D$500=C382)*(Purchase!$A$1:$A$500&lt;=A382)),Purchase!$G$1:$G$500)</f>
        <v/>
      </c>
      <c r="G382" s="23">
        <f>+D382*F382</f>
        <v/>
      </c>
    </row>
    <row r="383">
      <c r="A383" s="8" t="n"/>
      <c r="B383" s="8" t="n"/>
      <c r="C383" s="21" t="n"/>
      <c r="D383" s="22" t="n"/>
      <c r="E383" s="22">
        <f>IFERROR(+VLOOKUP(C383,Master!B:C,2,0),"")</f>
        <v/>
      </c>
      <c r="F383" s="23">
        <f>LOOKUP(2,1/((Purchase!$D$1:$D$500=C383)*(Purchase!$A$1:$A$500&lt;=A383)),Purchase!$G$1:$G$500)</f>
        <v/>
      </c>
      <c r="G383" s="23">
        <f>+D383*F383</f>
        <v/>
      </c>
    </row>
    <row r="384">
      <c r="A384" s="8" t="n"/>
      <c r="B384" s="8" t="n"/>
      <c r="C384" s="21" t="n"/>
      <c r="D384" s="22" t="n"/>
      <c r="E384" s="22">
        <f>IFERROR(+VLOOKUP(C384,Master!B:C,2,0),"")</f>
        <v/>
      </c>
      <c r="F384" s="23">
        <f>LOOKUP(2,1/((Purchase!$D$1:$D$500=C384)*(Purchase!$A$1:$A$500&lt;=A384)),Purchase!$G$1:$G$500)</f>
        <v/>
      </c>
      <c r="G384" s="23">
        <f>+D384*F384</f>
        <v/>
      </c>
    </row>
    <row r="385">
      <c r="A385" s="8" t="n"/>
      <c r="B385" s="8" t="n"/>
      <c r="C385" s="21" t="n"/>
      <c r="D385" s="22" t="n"/>
      <c r="E385" s="22">
        <f>IFERROR(+VLOOKUP(C385,Master!B:C,2,0),"")</f>
        <v/>
      </c>
      <c r="F385" s="23">
        <f>LOOKUP(2,1/((Purchase!$D$1:$D$500=C385)*(Purchase!$A$1:$A$500&lt;=A385)),Purchase!$G$1:$G$500)</f>
        <v/>
      </c>
      <c r="G385" s="23">
        <f>+D385*F385</f>
        <v/>
      </c>
    </row>
    <row r="386">
      <c r="A386" s="8" t="n"/>
      <c r="B386" s="8" t="n"/>
      <c r="C386" s="21" t="n"/>
      <c r="D386" s="22" t="n"/>
      <c r="E386" s="22">
        <f>IFERROR(+VLOOKUP(C386,Master!B:C,2,0),"")</f>
        <v/>
      </c>
      <c r="F386" s="23">
        <f>LOOKUP(2,1/((Purchase!$D$1:$D$500=C386)*(Purchase!$A$1:$A$500&lt;=A386)),Purchase!$G$1:$G$500)</f>
        <v/>
      </c>
      <c r="G386" s="23">
        <f>+D386*F386</f>
        <v/>
      </c>
    </row>
    <row r="387">
      <c r="A387" s="8" t="n"/>
      <c r="B387" s="8" t="n"/>
      <c r="C387" s="21" t="n"/>
      <c r="D387" s="22" t="n"/>
      <c r="E387" s="22">
        <f>IFERROR(+VLOOKUP(C387,Master!B:C,2,0),"")</f>
        <v/>
      </c>
      <c r="F387" s="23">
        <f>LOOKUP(2,1/((Purchase!$D$1:$D$500=C387)*(Purchase!$A$1:$A$500&lt;=A387)),Purchase!$G$1:$G$500)</f>
        <v/>
      </c>
      <c r="G387" s="23">
        <f>+D387*F387</f>
        <v/>
      </c>
    </row>
    <row r="388">
      <c r="A388" s="8" t="n"/>
      <c r="B388" s="8" t="n"/>
      <c r="C388" s="21" t="n"/>
      <c r="D388" s="22" t="n"/>
      <c r="E388" s="22">
        <f>IFERROR(+VLOOKUP(C388,Master!B:C,2,0),"")</f>
        <v/>
      </c>
      <c r="F388" s="23">
        <f>LOOKUP(2,1/((Purchase!$D$1:$D$500=C388)*(Purchase!$A$1:$A$500&lt;=A388)),Purchase!$G$1:$G$500)</f>
        <v/>
      </c>
      <c r="G388" s="23">
        <f>+D388*F388</f>
        <v/>
      </c>
    </row>
    <row r="389">
      <c r="A389" s="8" t="n"/>
      <c r="B389" s="8" t="n"/>
      <c r="C389" s="21" t="n"/>
      <c r="D389" s="22" t="n"/>
      <c r="E389" s="22">
        <f>IFERROR(+VLOOKUP(C389,Master!B:C,2,0),"")</f>
        <v/>
      </c>
      <c r="F389" s="23">
        <f>LOOKUP(2,1/((Purchase!$D$1:$D$500=C389)*(Purchase!$A$1:$A$500&lt;=A389)),Purchase!$G$1:$G$500)</f>
        <v/>
      </c>
      <c r="G389" s="23">
        <f>+D389*F389</f>
        <v/>
      </c>
    </row>
    <row r="390">
      <c r="A390" s="8" t="n"/>
      <c r="B390" s="8" t="n"/>
      <c r="C390" s="21" t="n"/>
      <c r="D390" s="22" t="n"/>
      <c r="E390" s="22">
        <f>IFERROR(+VLOOKUP(C390,Master!B:C,2,0),"")</f>
        <v/>
      </c>
      <c r="F390" s="23">
        <f>LOOKUP(2,1/((Purchase!$D$1:$D$500=C390)*(Purchase!$A$1:$A$500&lt;=A390)),Purchase!$G$1:$G$500)</f>
        <v/>
      </c>
      <c r="G390" s="23">
        <f>+D390*F390</f>
        <v/>
      </c>
    </row>
    <row r="391">
      <c r="A391" s="8" t="n"/>
      <c r="B391" s="8" t="n"/>
      <c r="C391" s="21" t="n"/>
      <c r="D391" s="22" t="n"/>
      <c r="E391" s="22">
        <f>IFERROR(+VLOOKUP(C391,Master!B:C,2,0),"")</f>
        <v/>
      </c>
      <c r="F391" s="23">
        <f>LOOKUP(2,1/((Purchase!$D$1:$D$500=C391)*(Purchase!$A$1:$A$500&lt;=A391)),Purchase!$G$1:$G$500)</f>
        <v/>
      </c>
      <c r="G391" s="23">
        <f>+D391*F391</f>
        <v/>
      </c>
    </row>
    <row r="392">
      <c r="A392" s="8" t="n"/>
      <c r="B392" s="8" t="n"/>
      <c r="C392" s="21" t="n"/>
      <c r="D392" s="22" t="n"/>
      <c r="E392" s="22">
        <f>IFERROR(+VLOOKUP(C392,Master!B:C,2,0),"")</f>
        <v/>
      </c>
      <c r="F392" s="23">
        <f>LOOKUP(2,1/((Purchase!$D$1:$D$500=C392)*(Purchase!$A$1:$A$500&lt;=A392)),Purchase!$G$1:$G$500)</f>
        <v/>
      </c>
      <c r="G392" s="23">
        <f>+D392*F392</f>
        <v/>
      </c>
    </row>
    <row r="393">
      <c r="A393" s="8" t="n"/>
      <c r="B393" s="8" t="n"/>
      <c r="C393" s="21" t="n"/>
      <c r="D393" s="22" t="n"/>
      <c r="E393" s="22">
        <f>IFERROR(+VLOOKUP(C393,Master!B:C,2,0),"")</f>
        <v/>
      </c>
      <c r="F393" s="23">
        <f>LOOKUP(2,1/((Purchase!$D$1:$D$500=C393)*(Purchase!$A$1:$A$500&lt;=A393)),Purchase!$G$1:$G$500)</f>
        <v/>
      </c>
      <c r="G393" s="23">
        <f>+D393*F393</f>
        <v/>
      </c>
    </row>
    <row r="394">
      <c r="A394" s="8" t="n"/>
      <c r="B394" s="8" t="n"/>
      <c r="C394" s="21" t="n"/>
      <c r="D394" s="22" t="n"/>
      <c r="E394" s="22">
        <f>IFERROR(+VLOOKUP(C394,Master!B:C,2,0),"")</f>
        <v/>
      </c>
      <c r="F394" s="23">
        <f>LOOKUP(2,1/((Purchase!$D$1:$D$500=C394)*(Purchase!$A$1:$A$500&lt;=A394)),Purchase!$G$1:$G$500)</f>
        <v/>
      </c>
      <c r="G394" s="23">
        <f>+D394*F394</f>
        <v/>
      </c>
    </row>
    <row r="395">
      <c r="A395" s="8" t="n"/>
      <c r="B395" s="8" t="n"/>
      <c r="C395" s="21" t="n"/>
      <c r="D395" s="22" t="n"/>
      <c r="E395" s="22">
        <f>IFERROR(+VLOOKUP(C395,Master!B:C,2,0),"")</f>
        <v/>
      </c>
      <c r="F395" s="23">
        <f>LOOKUP(2,1/((Purchase!$D$1:$D$500=C395)*(Purchase!$A$1:$A$500&lt;=A395)),Purchase!$G$1:$G$500)</f>
        <v/>
      </c>
      <c r="G395" s="23">
        <f>+D395*F395</f>
        <v/>
      </c>
    </row>
    <row r="396">
      <c r="A396" s="8" t="n"/>
      <c r="B396" s="8" t="n"/>
      <c r="C396" s="21" t="n"/>
      <c r="D396" s="22" t="n"/>
      <c r="E396" s="22">
        <f>IFERROR(+VLOOKUP(C396,Master!B:C,2,0),"")</f>
        <v/>
      </c>
      <c r="F396" s="23">
        <f>LOOKUP(2,1/((Purchase!$D$1:$D$500=C396)*(Purchase!$A$1:$A$500&lt;=A396)),Purchase!$G$1:$G$500)</f>
        <v/>
      </c>
      <c r="G396" s="23">
        <f>+D396*F396</f>
        <v/>
      </c>
    </row>
    <row r="397">
      <c r="A397" s="8" t="n"/>
      <c r="B397" s="8" t="n"/>
      <c r="C397" s="21" t="n"/>
      <c r="D397" s="22" t="n"/>
      <c r="E397" s="22">
        <f>IFERROR(+VLOOKUP(C397,Master!B:C,2,0),"")</f>
        <v/>
      </c>
      <c r="F397" s="23">
        <f>LOOKUP(2,1/((Purchase!$D$1:$D$500=C397)*(Purchase!$A$1:$A$500&lt;=A397)),Purchase!$G$1:$G$500)</f>
        <v/>
      </c>
      <c r="G397" s="23">
        <f>+D397*F397</f>
        <v/>
      </c>
    </row>
    <row r="398">
      <c r="A398" s="8" t="n"/>
      <c r="B398" s="8" t="n"/>
      <c r="C398" s="21" t="n"/>
      <c r="D398" s="22" t="n"/>
      <c r="E398" s="22">
        <f>IFERROR(+VLOOKUP(C398,Master!B:C,2,0),"")</f>
        <v/>
      </c>
      <c r="F398" s="23">
        <f>LOOKUP(2,1/((Purchase!$D$1:$D$500=C398)*(Purchase!$A$1:$A$500&lt;=A398)),Purchase!$G$1:$G$500)</f>
        <v/>
      </c>
      <c r="G398" s="23">
        <f>+D398*F398</f>
        <v/>
      </c>
    </row>
    <row r="399">
      <c r="A399" s="8" t="n"/>
      <c r="B399" s="8" t="n"/>
      <c r="C399" s="21" t="n"/>
      <c r="D399" s="22" t="n"/>
      <c r="E399" s="22">
        <f>IFERROR(+VLOOKUP(C399,Master!B:C,2,0),"")</f>
        <v/>
      </c>
      <c r="F399" s="23">
        <f>LOOKUP(2,1/((Purchase!$D$1:$D$500=C399)*(Purchase!$A$1:$A$500&lt;=A399)),Purchase!$G$1:$G$500)</f>
        <v/>
      </c>
      <c r="G399" s="23">
        <f>+D399*F399</f>
        <v/>
      </c>
    </row>
    <row r="400">
      <c r="A400" s="8" t="n"/>
      <c r="B400" s="8" t="n"/>
      <c r="C400" s="21" t="n"/>
      <c r="D400" s="22" t="n"/>
      <c r="E400" s="22">
        <f>IFERROR(+VLOOKUP(C400,Master!B:C,2,0),"")</f>
        <v/>
      </c>
      <c r="F400" s="23">
        <f>LOOKUP(2,1/((Purchase!$D$1:$D$500=C400)*(Purchase!$A$1:$A$500&lt;=A400)),Purchase!$G$1:$G$500)</f>
        <v/>
      </c>
      <c r="G400" s="23">
        <f>+D400*F400</f>
        <v/>
      </c>
    </row>
    <row r="401">
      <c r="A401" s="8" t="n"/>
      <c r="B401" s="8" t="n"/>
      <c r="C401" s="21" t="n"/>
      <c r="D401" s="22" t="n"/>
      <c r="E401" s="22">
        <f>IFERROR(+VLOOKUP(C401,Master!B:C,2,0),"")</f>
        <v/>
      </c>
      <c r="F401" s="23">
        <f>LOOKUP(2,1/((Purchase!$D$1:$D$500=C401)*(Purchase!$A$1:$A$500&lt;=A401)),Purchase!$G$1:$G$500)</f>
        <v/>
      </c>
      <c r="G401" s="23">
        <f>+D401*F401</f>
        <v/>
      </c>
    </row>
    <row r="402">
      <c r="A402" s="8" t="n"/>
      <c r="B402" s="8" t="n"/>
      <c r="C402" s="21" t="n"/>
      <c r="D402" s="22" t="n"/>
      <c r="E402" s="22">
        <f>IFERROR(+VLOOKUP(C402,Master!B:C,2,0),"")</f>
        <v/>
      </c>
      <c r="F402" s="23">
        <f>LOOKUP(2,1/((Purchase!$D$1:$D$500=C402)*(Purchase!$A$1:$A$500&lt;=A402)),Purchase!$G$1:$G$500)</f>
        <v/>
      </c>
      <c r="G402" s="23">
        <f>+D402*F402</f>
        <v/>
      </c>
    </row>
    <row r="403">
      <c r="A403" s="8" t="n"/>
      <c r="B403" s="8" t="n"/>
      <c r="C403" s="21" t="n"/>
      <c r="D403" s="22" t="n"/>
      <c r="E403" s="22">
        <f>IFERROR(+VLOOKUP(C403,Master!B:C,2,0),"")</f>
        <v/>
      </c>
      <c r="F403" s="23">
        <f>LOOKUP(2,1/((Purchase!$D$1:$D$500=C403)*(Purchase!$A$1:$A$500&lt;=A403)),Purchase!$G$1:$G$500)</f>
        <v/>
      </c>
      <c r="G403" s="23">
        <f>+D403*F403</f>
        <v/>
      </c>
    </row>
    <row r="404">
      <c r="A404" s="8" t="n"/>
      <c r="B404" s="8" t="n"/>
      <c r="C404" s="21" t="n"/>
      <c r="D404" s="22" t="n"/>
      <c r="E404" s="22">
        <f>IFERROR(+VLOOKUP(C404,Master!B:C,2,0),"")</f>
        <v/>
      </c>
      <c r="F404" s="23">
        <f>LOOKUP(2,1/((Purchase!$D$1:$D$500=C404)*(Purchase!$A$1:$A$500&lt;=A404)),Purchase!$G$1:$G$500)</f>
        <v/>
      </c>
      <c r="G404" s="23">
        <f>+D404*F404</f>
        <v/>
      </c>
    </row>
    <row r="405">
      <c r="A405" s="8" t="n"/>
      <c r="B405" s="8" t="n"/>
      <c r="C405" s="21" t="n"/>
      <c r="D405" s="22" t="n"/>
      <c r="E405" s="22">
        <f>IFERROR(+VLOOKUP(C405,Master!B:C,2,0),"")</f>
        <v/>
      </c>
      <c r="F405" s="23">
        <f>LOOKUP(2,1/((Purchase!$D$1:$D$500=C405)*(Purchase!$A$1:$A$500&lt;=A405)),Purchase!$G$1:$G$500)</f>
        <v/>
      </c>
      <c r="G405" s="23">
        <f>+D405*F405</f>
        <v/>
      </c>
    </row>
    <row r="406">
      <c r="A406" s="8" t="n"/>
      <c r="B406" s="8" t="n"/>
      <c r="C406" s="21" t="n"/>
      <c r="D406" s="22" t="n"/>
      <c r="E406" s="22">
        <f>IFERROR(+VLOOKUP(C406,Master!B:C,2,0),"")</f>
        <v/>
      </c>
      <c r="F406" s="23">
        <f>LOOKUP(2,1/((Purchase!$D$1:$D$500=C406)*(Purchase!$A$1:$A$500&lt;=A406)),Purchase!$G$1:$G$500)</f>
        <v/>
      </c>
      <c r="G406" s="23">
        <f>+D406*F406</f>
        <v/>
      </c>
    </row>
    <row r="407">
      <c r="A407" s="8" t="n"/>
      <c r="B407" s="8" t="n"/>
      <c r="C407" s="21" t="n"/>
      <c r="D407" s="22" t="n"/>
      <c r="E407" s="22">
        <f>IFERROR(+VLOOKUP(C407,Master!B:C,2,0),"")</f>
        <v/>
      </c>
      <c r="F407" s="23">
        <f>LOOKUP(2,1/((Purchase!$D$1:$D$500=C407)*(Purchase!$A$1:$A$500&lt;=A407)),Purchase!$G$1:$G$500)</f>
        <v/>
      </c>
      <c r="G407" s="23">
        <f>+D407*F407</f>
        <v/>
      </c>
    </row>
    <row r="408">
      <c r="A408" s="8" t="n"/>
      <c r="B408" s="8" t="n"/>
      <c r="C408" s="21" t="n"/>
      <c r="D408" s="22" t="n"/>
      <c r="E408" s="22">
        <f>IFERROR(+VLOOKUP(C408,Master!B:C,2,0),"")</f>
        <v/>
      </c>
      <c r="F408" s="23">
        <f>LOOKUP(2,1/((Purchase!$D$1:$D$500=C408)*(Purchase!$A$1:$A$500&lt;=A408)),Purchase!$G$1:$G$500)</f>
        <v/>
      </c>
      <c r="G408" s="23">
        <f>+D408*F408</f>
        <v/>
      </c>
    </row>
    <row r="409">
      <c r="A409" s="8" t="n"/>
      <c r="B409" s="8" t="n"/>
      <c r="C409" s="21" t="n"/>
      <c r="D409" s="22" t="n"/>
      <c r="E409" s="22">
        <f>IFERROR(+VLOOKUP(C409,Master!B:C,2,0),"")</f>
        <v/>
      </c>
      <c r="F409" s="23">
        <f>LOOKUP(2,1/((Purchase!$D$1:$D$500=C409)*(Purchase!$A$1:$A$500&lt;=A409)),Purchase!$G$1:$G$500)</f>
        <v/>
      </c>
      <c r="G409" s="23">
        <f>+D409*F409</f>
        <v/>
      </c>
    </row>
    <row r="410">
      <c r="A410" s="8" t="n"/>
      <c r="B410" s="8" t="n"/>
      <c r="C410" s="21" t="n"/>
      <c r="D410" s="22" t="n"/>
      <c r="E410" s="22">
        <f>IFERROR(+VLOOKUP(C410,Master!B:C,2,0),"")</f>
        <v/>
      </c>
      <c r="F410" s="23">
        <f>LOOKUP(2,1/((Purchase!$D$1:$D$500=C410)*(Purchase!$A$1:$A$500&lt;=A410)),Purchase!$G$1:$G$500)</f>
        <v/>
      </c>
      <c r="G410" s="23">
        <f>+D410*F410</f>
        <v/>
      </c>
    </row>
    <row r="411">
      <c r="A411" s="8" t="n"/>
      <c r="B411" s="8" t="n"/>
      <c r="C411" s="21" t="n"/>
      <c r="D411" s="22" t="n"/>
      <c r="E411" s="22">
        <f>IFERROR(+VLOOKUP(C411,Master!B:C,2,0),"")</f>
        <v/>
      </c>
      <c r="F411" s="23">
        <f>LOOKUP(2,1/((Purchase!$D$1:$D$500=C411)*(Purchase!$A$1:$A$500&lt;=A411)),Purchase!$G$1:$G$500)</f>
        <v/>
      </c>
      <c r="G411" s="23">
        <f>+D411*F411</f>
        <v/>
      </c>
    </row>
    <row r="412">
      <c r="A412" s="8" t="n"/>
      <c r="B412" s="8" t="n"/>
      <c r="C412" s="21" t="n"/>
      <c r="D412" s="22" t="n"/>
      <c r="E412" s="22">
        <f>IFERROR(+VLOOKUP(C412,Master!B:C,2,0),"")</f>
        <v/>
      </c>
      <c r="F412" s="23">
        <f>LOOKUP(2,1/((Purchase!$D$1:$D$500=C412)*(Purchase!$A$1:$A$500&lt;=A412)),Purchase!$G$1:$G$500)</f>
        <v/>
      </c>
      <c r="G412" s="23">
        <f>+D412*F412</f>
        <v/>
      </c>
    </row>
    <row r="413">
      <c r="A413" s="8" t="n"/>
      <c r="B413" s="8" t="n"/>
      <c r="C413" s="21" t="n"/>
      <c r="D413" s="22" t="n"/>
      <c r="E413" s="22">
        <f>IFERROR(+VLOOKUP(C413,Master!B:C,2,0),"")</f>
        <v/>
      </c>
      <c r="F413" s="23">
        <f>LOOKUP(2,1/((Purchase!$D$1:$D$500=C413)*(Purchase!$A$1:$A$500&lt;=A413)),Purchase!$G$1:$G$500)</f>
        <v/>
      </c>
      <c r="G413" s="23">
        <f>+D413*F413</f>
        <v/>
      </c>
    </row>
    <row r="414">
      <c r="A414" s="8" t="n"/>
      <c r="B414" s="8" t="n"/>
      <c r="C414" s="21" t="n"/>
      <c r="D414" s="22" t="n"/>
      <c r="E414" s="22">
        <f>IFERROR(+VLOOKUP(C414,Master!B:C,2,0),"")</f>
        <v/>
      </c>
      <c r="F414" s="23">
        <f>LOOKUP(2,1/((Purchase!$D$1:$D$500=C414)*(Purchase!$A$1:$A$500&lt;=A414)),Purchase!$G$1:$G$500)</f>
        <v/>
      </c>
      <c r="G414" s="23">
        <f>+D414*F414</f>
        <v/>
      </c>
    </row>
    <row r="415">
      <c r="A415" s="8" t="n"/>
      <c r="B415" s="8" t="n"/>
      <c r="C415" s="21" t="n"/>
      <c r="D415" s="22" t="n"/>
      <c r="E415" s="22">
        <f>IFERROR(+VLOOKUP(C415,Master!B:C,2,0),"")</f>
        <v/>
      </c>
      <c r="F415" s="23">
        <f>LOOKUP(2,1/((Purchase!$D$1:$D$500=C415)*(Purchase!$A$1:$A$500&lt;=A415)),Purchase!$G$1:$G$500)</f>
        <v/>
      </c>
      <c r="G415" s="23">
        <f>+D415*F415</f>
        <v/>
      </c>
    </row>
    <row r="416">
      <c r="A416" s="8" t="n"/>
      <c r="B416" s="8" t="n"/>
      <c r="C416" s="21" t="n"/>
      <c r="D416" s="22" t="n"/>
      <c r="E416" s="22">
        <f>IFERROR(+VLOOKUP(C416,Master!B:C,2,0),"")</f>
        <v/>
      </c>
      <c r="F416" s="23">
        <f>LOOKUP(2,1/((Purchase!$D$1:$D$500=C416)*(Purchase!$A$1:$A$500&lt;=A416)),Purchase!$G$1:$G$500)</f>
        <v/>
      </c>
      <c r="G416" s="23">
        <f>+D416*F416</f>
        <v/>
      </c>
    </row>
    <row r="417">
      <c r="A417" s="8" t="n"/>
      <c r="B417" s="8" t="n"/>
      <c r="C417" s="21" t="n"/>
      <c r="D417" s="22" t="n"/>
      <c r="E417" s="22">
        <f>IFERROR(+VLOOKUP(C417,Master!B:C,2,0),"")</f>
        <v/>
      </c>
      <c r="F417" s="23">
        <f>LOOKUP(2,1/((Purchase!$D$1:$D$500=C417)*(Purchase!$A$1:$A$500&lt;=A417)),Purchase!$G$1:$G$500)</f>
        <v/>
      </c>
      <c r="G417" s="23">
        <f>+D417*F417</f>
        <v/>
      </c>
    </row>
    <row r="418">
      <c r="A418" s="8" t="n"/>
      <c r="B418" s="8" t="n"/>
      <c r="C418" s="21" t="n"/>
      <c r="D418" s="22" t="n"/>
      <c r="E418" s="22">
        <f>IFERROR(+VLOOKUP(C418,Master!B:C,2,0),"")</f>
        <v/>
      </c>
      <c r="F418" s="23">
        <f>LOOKUP(2,1/((Purchase!$D$1:$D$500=C418)*(Purchase!$A$1:$A$500&lt;=A418)),Purchase!$G$1:$G$500)</f>
        <v/>
      </c>
      <c r="G418" s="23">
        <f>+D418*F418</f>
        <v/>
      </c>
    </row>
    <row r="419">
      <c r="A419" s="8" t="n"/>
      <c r="B419" s="8" t="n"/>
      <c r="C419" s="21" t="n"/>
      <c r="D419" s="22" t="n"/>
      <c r="E419" s="22">
        <f>IFERROR(+VLOOKUP(C419,Master!B:C,2,0),"")</f>
        <v/>
      </c>
      <c r="F419" s="23">
        <f>LOOKUP(2,1/((Purchase!$D$1:$D$500=C419)*(Purchase!$A$1:$A$500&lt;=A419)),Purchase!$G$1:$G$500)</f>
        <v/>
      </c>
      <c r="G419" s="23">
        <f>+D419*F419</f>
        <v/>
      </c>
    </row>
    <row r="420">
      <c r="A420" s="8" t="n"/>
      <c r="B420" s="8" t="n"/>
      <c r="C420" s="21" t="n"/>
      <c r="D420" s="22" t="n"/>
      <c r="E420" s="22">
        <f>IFERROR(+VLOOKUP(C420,Master!B:C,2,0),"")</f>
        <v/>
      </c>
      <c r="F420" s="23">
        <f>LOOKUP(2,1/((Purchase!$D$1:$D$500=C420)*(Purchase!$A$1:$A$500&lt;=A420)),Purchase!$G$1:$G$500)</f>
        <v/>
      </c>
      <c r="G420" s="23">
        <f>+D420*F420</f>
        <v/>
      </c>
    </row>
    <row r="421">
      <c r="A421" s="8" t="n"/>
      <c r="B421" s="8" t="n"/>
      <c r="C421" s="21" t="n"/>
      <c r="D421" s="22" t="n"/>
      <c r="E421" s="22">
        <f>IFERROR(+VLOOKUP(C421,Master!B:C,2,0),"")</f>
        <v/>
      </c>
      <c r="F421" s="23">
        <f>LOOKUP(2,1/((Purchase!$D$1:$D$500=C421)*(Purchase!$A$1:$A$500&lt;=A421)),Purchase!$G$1:$G$500)</f>
        <v/>
      </c>
      <c r="G421" s="23">
        <f>+D421*F421</f>
        <v/>
      </c>
    </row>
    <row r="422">
      <c r="A422" s="8" t="n"/>
      <c r="B422" s="8" t="n"/>
      <c r="C422" s="21" t="n"/>
      <c r="D422" s="22" t="n"/>
      <c r="E422" s="22">
        <f>IFERROR(+VLOOKUP(C422,Master!B:C,2,0),"")</f>
        <v/>
      </c>
      <c r="F422" s="23">
        <f>LOOKUP(2,1/((Purchase!$D$1:$D$500=C422)*(Purchase!$A$1:$A$500&lt;=A422)),Purchase!$G$1:$G$500)</f>
        <v/>
      </c>
      <c r="G422" s="23">
        <f>+D422*F422</f>
        <v/>
      </c>
    </row>
    <row r="423">
      <c r="A423" s="8" t="n"/>
      <c r="B423" s="8" t="n"/>
      <c r="C423" s="21" t="n"/>
      <c r="D423" s="22" t="n"/>
      <c r="E423" s="22">
        <f>IFERROR(+VLOOKUP(C423,Master!B:C,2,0),"")</f>
        <v/>
      </c>
      <c r="F423" s="23">
        <f>LOOKUP(2,1/((Purchase!$D$1:$D$500=C423)*(Purchase!$A$1:$A$500&lt;=A423)),Purchase!$G$1:$G$500)</f>
        <v/>
      </c>
      <c r="G423" s="23">
        <f>+D423*F423</f>
        <v/>
      </c>
    </row>
    <row r="424">
      <c r="A424" s="8" t="n"/>
      <c r="B424" s="8" t="n"/>
      <c r="C424" s="21" t="n"/>
      <c r="D424" s="22" t="n"/>
      <c r="E424" s="22">
        <f>IFERROR(+VLOOKUP(C424,Master!B:C,2,0),"")</f>
        <v/>
      </c>
      <c r="F424" s="23">
        <f>LOOKUP(2,1/((Purchase!$D$1:$D$500=C424)*(Purchase!$A$1:$A$500&lt;=A424)),Purchase!$G$1:$G$500)</f>
        <v/>
      </c>
      <c r="G424" s="23">
        <f>+D424*F424</f>
        <v/>
      </c>
    </row>
    <row r="425">
      <c r="A425" s="8" t="n"/>
      <c r="B425" s="8" t="n"/>
      <c r="C425" s="21" t="n"/>
      <c r="D425" s="22" t="n"/>
      <c r="E425" s="22">
        <f>IFERROR(+VLOOKUP(C425,Master!B:C,2,0),"")</f>
        <v/>
      </c>
      <c r="F425" s="23">
        <f>LOOKUP(2,1/((Purchase!$D$1:$D$500=C425)*(Purchase!$A$1:$A$500&lt;=A425)),Purchase!$G$1:$G$500)</f>
        <v/>
      </c>
      <c r="G425" s="23">
        <f>+D425*F425</f>
        <v/>
      </c>
    </row>
    <row r="426">
      <c r="A426" s="8" t="n"/>
      <c r="B426" s="8" t="n"/>
      <c r="C426" s="21" t="n"/>
      <c r="D426" s="22" t="n"/>
      <c r="E426" s="22">
        <f>IFERROR(+VLOOKUP(C426,Master!B:C,2,0),"")</f>
        <v/>
      </c>
      <c r="F426" s="23">
        <f>LOOKUP(2,1/((Purchase!$D$1:$D$500=C426)*(Purchase!$A$1:$A$500&lt;=A426)),Purchase!$G$1:$G$500)</f>
        <v/>
      </c>
      <c r="G426" s="23">
        <f>+D426*F426</f>
        <v/>
      </c>
    </row>
    <row r="427">
      <c r="A427" s="8" t="n"/>
      <c r="B427" s="8" t="n"/>
      <c r="C427" s="21" t="n"/>
      <c r="D427" s="22" t="n"/>
      <c r="E427" s="22">
        <f>IFERROR(+VLOOKUP(C427,Master!B:C,2,0),"")</f>
        <v/>
      </c>
      <c r="F427" s="23">
        <f>LOOKUP(2,1/((Purchase!$D$1:$D$500=C427)*(Purchase!$A$1:$A$500&lt;=A427)),Purchase!$G$1:$G$500)</f>
        <v/>
      </c>
      <c r="G427" s="23">
        <f>+D427*F427</f>
        <v/>
      </c>
    </row>
    <row r="428">
      <c r="A428" s="8" t="n"/>
      <c r="B428" s="8" t="n"/>
      <c r="C428" s="21" t="n"/>
      <c r="D428" s="22" t="n"/>
      <c r="E428" s="22">
        <f>IFERROR(+VLOOKUP(C428,Master!B:C,2,0),"")</f>
        <v/>
      </c>
      <c r="F428" s="23">
        <f>LOOKUP(2,1/((Purchase!$D$1:$D$500=C428)*(Purchase!$A$1:$A$500&lt;=A428)),Purchase!$G$1:$G$500)</f>
        <v/>
      </c>
      <c r="G428" s="23">
        <f>+D428*F428</f>
        <v/>
      </c>
    </row>
    <row r="429">
      <c r="A429" s="8" t="n"/>
      <c r="B429" s="8" t="n"/>
      <c r="C429" s="21" t="n"/>
      <c r="D429" s="22" t="n"/>
      <c r="E429" s="22">
        <f>IFERROR(+VLOOKUP(C429,Master!B:C,2,0),"")</f>
        <v/>
      </c>
      <c r="F429" s="23">
        <f>LOOKUP(2,1/((Purchase!$D$1:$D$500=C429)*(Purchase!$A$1:$A$500&lt;=A429)),Purchase!$G$1:$G$500)</f>
        <v/>
      </c>
      <c r="G429" s="23">
        <f>+D429*F429</f>
        <v/>
      </c>
    </row>
    <row r="430">
      <c r="A430" s="8" t="n"/>
      <c r="B430" s="8" t="n"/>
      <c r="C430" s="21" t="n"/>
      <c r="D430" s="22" t="n"/>
      <c r="E430" s="22">
        <f>IFERROR(+VLOOKUP(C430,Master!B:C,2,0),"")</f>
        <v/>
      </c>
      <c r="F430" s="23">
        <f>LOOKUP(2,1/((Purchase!$D$1:$D$500=C430)*(Purchase!$A$1:$A$500&lt;=A430)),Purchase!$G$1:$G$500)</f>
        <v/>
      </c>
      <c r="G430" s="23">
        <f>+D430*F430</f>
        <v/>
      </c>
    </row>
    <row r="431">
      <c r="A431" s="8" t="n"/>
      <c r="B431" s="8" t="n"/>
      <c r="C431" s="21" t="n"/>
      <c r="D431" s="22" t="n"/>
      <c r="E431" s="22">
        <f>IFERROR(+VLOOKUP(C431,Master!B:C,2,0),"")</f>
        <v/>
      </c>
      <c r="F431" s="23">
        <f>LOOKUP(2,1/((Purchase!$D$1:$D$500=C431)*(Purchase!$A$1:$A$500&lt;=A431)),Purchase!$G$1:$G$500)</f>
        <v/>
      </c>
      <c r="G431" s="23">
        <f>+D431*F431</f>
        <v/>
      </c>
    </row>
    <row r="432">
      <c r="A432" s="8" t="n"/>
      <c r="B432" s="8" t="n"/>
      <c r="C432" s="21" t="n"/>
      <c r="D432" s="22" t="n"/>
      <c r="E432" s="22">
        <f>IFERROR(+VLOOKUP(C432,Master!B:C,2,0),"")</f>
        <v/>
      </c>
      <c r="F432" s="23">
        <f>LOOKUP(2,1/((Purchase!$D$1:$D$500=C432)*(Purchase!$A$1:$A$500&lt;=A432)),Purchase!$G$1:$G$500)</f>
        <v/>
      </c>
      <c r="G432" s="23">
        <f>+D432*F432</f>
        <v/>
      </c>
    </row>
    <row r="433">
      <c r="A433" s="8" t="n"/>
      <c r="B433" s="8" t="n"/>
      <c r="C433" s="21" t="n"/>
      <c r="D433" s="22" t="n"/>
      <c r="E433" s="22">
        <f>IFERROR(+VLOOKUP(C433,Master!B:C,2,0),"")</f>
        <v/>
      </c>
      <c r="F433" s="23">
        <f>LOOKUP(2,1/((Purchase!$D$1:$D$500=C433)*(Purchase!$A$1:$A$500&lt;=A433)),Purchase!$G$1:$G$500)</f>
        <v/>
      </c>
      <c r="G433" s="23">
        <f>+D433*F433</f>
        <v/>
      </c>
    </row>
    <row r="434">
      <c r="A434" s="8" t="n"/>
      <c r="B434" s="8" t="n"/>
      <c r="C434" s="21" t="n"/>
      <c r="D434" s="22" t="n"/>
      <c r="E434" s="22">
        <f>IFERROR(+VLOOKUP(C434,Master!B:C,2,0),"")</f>
        <v/>
      </c>
      <c r="F434" s="23">
        <f>LOOKUP(2,1/((Purchase!$D$1:$D$500=C434)*(Purchase!$A$1:$A$500&lt;=A434)),Purchase!$G$1:$G$500)</f>
        <v/>
      </c>
      <c r="G434" s="23">
        <f>+D434*F434</f>
        <v/>
      </c>
    </row>
    <row r="435">
      <c r="A435" s="8" t="n"/>
      <c r="B435" s="8" t="n"/>
      <c r="C435" s="21" t="n"/>
      <c r="D435" s="22" t="n"/>
      <c r="E435" s="22">
        <f>IFERROR(+VLOOKUP(C435,Master!B:C,2,0),"")</f>
        <v/>
      </c>
      <c r="F435" s="23">
        <f>LOOKUP(2,1/((Purchase!$D$1:$D$500=C435)*(Purchase!$A$1:$A$500&lt;=A435)),Purchase!$G$1:$G$500)</f>
        <v/>
      </c>
      <c r="G435" s="23">
        <f>+D435*F435</f>
        <v/>
      </c>
    </row>
    <row r="436">
      <c r="A436" s="8" t="n"/>
      <c r="B436" s="8" t="n"/>
      <c r="C436" s="21" t="n"/>
      <c r="D436" s="22" t="n"/>
      <c r="E436" s="22">
        <f>IFERROR(+VLOOKUP(C436,Master!B:C,2,0),"")</f>
        <v/>
      </c>
      <c r="F436" s="23">
        <f>LOOKUP(2,1/((Purchase!$D$1:$D$500=C436)*(Purchase!$A$1:$A$500&lt;=A436)),Purchase!$G$1:$G$500)</f>
        <v/>
      </c>
      <c r="G436" s="23">
        <f>+D436*F436</f>
        <v/>
      </c>
    </row>
    <row r="437">
      <c r="A437" s="8" t="n"/>
      <c r="B437" s="8" t="n"/>
      <c r="C437" s="21" t="n"/>
      <c r="D437" s="22" t="n"/>
      <c r="E437" s="22">
        <f>IFERROR(+VLOOKUP(C437,Master!B:C,2,0),"")</f>
        <v/>
      </c>
      <c r="F437" s="23">
        <f>LOOKUP(2,1/((Purchase!$D$1:$D$500=C437)*(Purchase!$A$1:$A$500&lt;=A437)),Purchase!$G$1:$G$500)</f>
        <v/>
      </c>
      <c r="G437" s="23">
        <f>+D437*F437</f>
        <v/>
      </c>
    </row>
    <row r="438">
      <c r="A438" s="8" t="n"/>
      <c r="B438" s="8" t="n"/>
      <c r="C438" s="21" t="n"/>
      <c r="D438" s="22" t="n"/>
      <c r="E438" s="22">
        <f>IFERROR(+VLOOKUP(C438,Master!B:C,2,0),"")</f>
        <v/>
      </c>
      <c r="F438" s="23">
        <f>LOOKUP(2,1/((Purchase!$D$1:$D$500=C438)*(Purchase!$A$1:$A$500&lt;=A438)),Purchase!$G$1:$G$500)</f>
        <v/>
      </c>
      <c r="G438" s="23">
        <f>+D438*F438</f>
        <v/>
      </c>
    </row>
    <row r="439">
      <c r="A439" s="8" t="n"/>
      <c r="B439" s="8" t="n"/>
      <c r="C439" s="21" t="n"/>
      <c r="D439" s="22" t="n"/>
      <c r="E439" s="22">
        <f>IFERROR(+VLOOKUP(C439,Master!B:C,2,0),"")</f>
        <v/>
      </c>
      <c r="F439" s="23">
        <f>LOOKUP(2,1/((Purchase!$D$1:$D$500=C439)*(Purchase!$A$1:$A$500&lt;=A439)),Purchase!$G$1:$G$500)</f>
        <v/>
      </c>
      <c r="G439" s="23">
        <f>+D439*F439</f>
        <v/>
      </c>
    </row>
    <row r="440">
      <c r="A440" s="8" t="n"/>
      <c r="B440" s="8" t="n"/>
      <c r="C440" s="21" t="n"/>
      <c r="D440" s="22" t="n"/>
      <c r="E440" s="22">
        <f>IFERROR(+VLOOKUP(C440,Master!B:C,2,0),"")</f>
        <v/>
      </c>
      <c r="F440" s="23">
        <f>LOOKUP(2,1/((Purchase!$D$1:$D$500=C440)*(Purchase!$A$1:$A$500&lt;=A440)),Purchase!$G$1:$G$500)</f>
        <v/>
      </c>
      <c r="G440" s="23">
        <f>+D440*F440</f>
        <v/>
      </c>
    </row>
    <row r="441">
      <c r="A441" s="8" t="n"/>
      <c r="B441" s="8" t="n"/>
      <c r="C441" s="21" t="n"/>
      <c r="D441" s="22" t="n"/>
      <c r="E441" s="22">
        <f>IFERROR(+VLOOKUP(C441,Master!B:C,2,0),"")</f>
        <v/>
      </c>
      <c r="F441" s="23">
        <f>LOOKUP(2,1/((Purchase!$D$1:$D$500=C441)*(Purchase!$A$1:$A$500&lt;=A441)),Purchase!$G$1:$G$500)</f>
        <v/>
      </c>
      <c r="G441" s="23">
        <f>+D441*F441</f>
        <v/>
      </c>
    </row>
    <row r="442">
      <c r="A442" s="8" t="n"/>
      <c r="B442" s="8" t="n"/>
      <c r="C442" s="21" t="n"/>
      <c r="D442" s="22" t="n"/>
      <c r="E442" s="22">
        <f>IFERROR(+VLOOKUP(C442,Master!B:C,2,0),"")</f>
        <v/>
      </c>
      <c r="F442" s="23">
        <f>LOOKUP(2,1/((Purchase!$D$1:$D$500=C442)*(Purchase!$A$1:$A$500&lt;=A442)),Purchase!$G$1:$G$500)</f>
        <v/>
      </c>
      <c r="G442" s="23">
        <f>+D442*F442</f>
        <v/>
      </c>
    </row>
    <row r="443">
      <c r="A443" s="8" t="n"/>
      <c r="B443" s="8" t="n"/>
      <c r="C443" s="21" t="n"/>
      <c r="D443" s="22" t="n"/>
      <c r="E443" s="22">
        <f>IFERROR(+VLOOKUP(C443,Master!B:C,2,0),"")</f>
        <v/>
      </c>
      <c r="F443" s="23">
        <f>LOOKUP(2,1/((Purchase!$D$1:$D$500=C443)*(Purchase!$A$1:$A$500&lt;=A443)),Purchase!$G$1:$G$500)</f>
        <v/>
      </c>
      <c r="G443" s="23">
        <f>+D443*F443</f>
        <v/>
      </c>
    </row>
    <row r="444">
      <c r="A444" s="8" t="n"/>
      <c r="B444" s="8" t="n"/>
      <c r="C444" s="21" t="n"/>
      <c r="D444" s="22" t="n"/>
      <c r="E444" s="22">
        <f>IFERROR(+VLOOKUP(C444,Master!B:C,2,0),"")</f>
        <v/>
      </c>
      <c r="F444" s="23">
        <f>LOOKUP(2,1/((Purchase!$D$1:$D$500=C444)*(Purchase!$A$1:$A$500&lt;=A444)),Purchase!$G$1:$G$500)</f>
        <v/>
      </c>
      <c r="G444" s="23">
        <f>+D444*F444</f>
        <v/>
      </c>
    </row>
    <row r="445">
      <c r="A445" s="8" t="n"/>
      <c r="B445" s="8" t="n"/>
      <c r="C445" s="21" t="n"/>
      <c r="D445" s="22" t="n"/>
      <c r="E445" s="22">
        <f>IFERROR(+VLOOKUP(C445,Master!B:C,2,0),"")</f>
        <v/>
      </c>
      <c r="F445" s="23">
        <f>LOOKUP(2,1/((Purchase!$D$1:$D$500=C445)*(Purchase!$A$1:$A$500&lt;=A445)),Purchase!$G$1:$G$500)</f>
        <v/>
      </c>
      <c r="G445" s="23">
        <f>+D445*F445</f>
        <v/>
      </c>
    </row>
    <row r="446">
      <c r="A446" s="8" t="n"/>
      <c r="B446" s="8" t="n"/>
      <c r="C446" s="21" t="n"/>
      <c r="D446" s="22" t="n"/>
      <c r="E446" s="22">
        <f>IFERROR(+VLOOKUP(C446,Master!B:C,2,0),"")</f>
        <v/>
      </c>
      <c r="F446" s="23">
        <f>LOOKUP(2,1/((Purchase!$D$1:$D$500=C446)*(Purchase!$A$1:$A$500&lt;=A446)),Purchase!$G$1:$G$500)</f>
        <v/>
      </c>
      <c r="G446" s="23">
        <f>+D446*F446</f>
        <v/>
      </c>
    </row>
    <row r="447">
      <c r="A447" s="8" t="n"/>
      <c r="B447" s="8" t="n"/>
      <c r="C447" s="21" t="n"/>
      <c r="D447" s="22" t="n"/>
      <c r="E447" s="22">
        <f>IFERROR(+VLOOKUP(C447,Master!B:C,2,0),"")</f>
        <v/>
      </c>
      <c r="F447" s="23">
        <f>LOOKUP(2,1/((Purchase!$D$1:$D$500=C447)*(Purchase!$A$1:$A$500&lt;=A447)),Purchase!$G$1:$G$500)</f>
        <v/>
      </c>
      <c r="G447" s="23">
        <f>+D447*F447</f>
        <v/>
      </c>
    </row>
    <row r="448">
      <c r="A448" s="8" t="n"/>
      <c r="B448" s="8" t="n"/>
      <c r="C448" s="21" t="n"/>
      <c r="D448" s="22" t="n"/>
      <c r="E448" s="22">
        <f>IFERROR(+VLOOKUP(C448,Master!B:C,2,0),"")</f>
        <v/>
      </c>
      <c r="F448" s="23">
        <f>LOOKUP(2,1/((Purchase!$D$1:$D$500=C448)*(Purchase!$A$1:$A$500&lt;=A448)),Purchase!$G$1:$G$500)</f>
        <v/>
      </c>
      <c r="G448" s="23">
        <f>+D448*F448</f>
        <v/>
      </c>
    </row>
    <row r="449">
      <c r="A449" s="8" t="n"/>
      <c r="B449" s="8" t="n"/>
      <c r="C449" s="21" t="n"/>
      <c r="D449" s="22" t="n"/>
      <c r="E449" s="22">
        <f>IFERROR(+VLOOKUP(C449,Master!B:C,2,0),"")</f>
        <v/>
      </c>
      <c r="F449" s="23">
        <f>LOOKUP(2,1/((Purchase!$D$1:$D$500=C449)*(Purchase!$A$1:$A$500&lt;=A449)),Purchase!$G$1:$G$500)</f>
        <v/>
      </c>
      <c r="G449" s="23">
        <f>+D449*F449</f>
        <v/>
      </c>
    </row>
    <row r="450">
      <c r="A450" s="8" t="n"/>
      <c r="B450" s="8" t="n"/>
      <c r="C450" s="21" t="n"/>
      <c r="D450" s="22" t="n"/>
      <c r="E450" s="22">
        <f>IFERROR(+VLOOKUP(C450,Master!B:C,2,0),"")</f>
        <v/>
      </c>
      <c r="F450" s="23">
        <f>LOOKUP(2,1/((Purchase!$D$1:$D$500=C450)*(Purchase!$A$1:$A$500&lt;=A450)),Purchase!$G$1:$G$500)</f>
        <v/>
      </c>
      <c r="G450" s="23">
        <f>+D450*F450</f>
        <v/>
      </c>
    </row>
    <row r="451">
      <c r="A451" s="8" t="n"/>
      <c r="B451" s="8" t="n"/>
      <c r="C451" s="21" t="n"/>
      <c r="D451" s="22" t="n"/>
      <c r="E451" s="22">
        <f>IFERROR(+VLOOKUP(C451,Master!B:C,2,0),"")</f>
        <v/>
      </c>
      <c r="F451" s="23">
        <f>LOOKUP(2,1/((Purchase!$D$1:$D$500=C451)*(Purchase!$A$1:$A$500&lt;=A451)),Purchase!$G$1:$G$500)</f>
        <v/>
      </c>
      <c r="G451" s="23">
        <f>+D451*F451</f>
        <v/>
      </c>
    </row>
    <row r="452">
      <c r="A452" s="8" t="n"/>
      <c r="B452" s="8" t="n"/>
      <c r="C452" s="21" t="n"/>
      <c r="D452" s="22" t="n"/>
      <c r="E452" s="22">
        <f>IFERROR(+VLOOKUP(C452,Master!B:C,2,0),"")</f>
        <v/>
      </c>
      <c r="F452" s="23">
        <f>LOOKUP(2,1/((Purchase!$D$1:$D$500=C452)*(Purchase!$A$1:$A$500&lt;=A452)),Purchase!$G$1:$G$500)</f>
        <v/>
      </c>
      <c r="G452" s="23">
        <f>+D452*F452</f>
        <v/>
      </c>
    </row>
    <row r="453">
      <c r="A453" s="8" t="n"/>
      <c r="B453" s="8" t="n"/>
      <c r="C453" s="21" t="n"/>
      <c r="D453" s="22" t="n"/>
      <c r="E453" s="22">
        <f>IFERROR(+VLOOKUP(C453,Master!B:C,2,0),"")</f>
        <v/>
      </c>
      <c r="F453" s="23">
        <f>LOOKUP(2,1/((Purchase!$D$1:$D$500=C453)*(Purchase!$A$1:$A$500&lt;=A453)),Purchase!$G$1:$G$500)</f>
        <v/>
      </c>
      <c r="G453" s="23">
        <f>+D453*F453</f>
        <v/>
      </c>
    </row>
    <row r="454">
      <c r="A454" s="8" t="n"/>
      <c r="B454" s="8" t="n"/>
      <c r="C454" s="21" t="n"/>
      <c r="D454" s="22" t="n"/>
      <c r="E454" s="22">
        <f>IFERROR(+VLOOKUP(C454,Master!B:C,2,0),"")</f>
        <v/>
      </c>
      <c r="F454" s="23">
        <f>LOOKUP(2,1/((Purchase!$D$1:$D$500=C454)*(Purchase!$A$1:$A$500&lt;=A454)),Purchase!$G$1:$G$500)</f>
        <v/>
      </c>
      <c r="G454" s="23">
        <f>+D454*F454</f>
        <v/>
      </c>
    </row>
    <row r="455">
      <c r="A455" s="8" t="n"/>
      <c r="B455" s="8" t="n"/>
      <c r="C455" s="21" t="n"/>
      <c r="D455" s="22" t="n"/>
      <c r="E455" s="22">
        <f>IFERROR(+VLOOKUP(C455,Master!B:C,2,0),"")</f>
        <v/>
      </c>
      <c r="F455" s="23">
        <f>LOOKUP(2,1/((Purchase!$D$1:$D$500=C455)*(Purchase!$A$1:$A$500&lt;=A455)),Purchase!$G$1:$G$500)</f>
        <v/>
      </c>
      <c r="G455" s="23">
        <f>+D455*F455</f>
        <v/>
      </c>
    </row>
    <row r="456">
      <c r="A456" s="8" t="n"/>
      <c r="B456" s="8" t="n"/>
      <c r="C456" s="21" t="n"/>
      <c r="D456" s="22" t="n"/>
      <c r="E456" s="22">
        <f>IFERROR(+VLOOKUP(C456,Master!B:C,2,0),"")</f>
        <v/>
      </c>
      <c r="F456" s="23">
        <f>LOOKUP(2,1/((Purchase!$D$1:$D$500=C456)*(Purchase!$A$1:$A$500&lt;=A456)),Purchase!$G$1:$G$500)</f>
        <v/>
      </c>
      <c r="G456" s="23">
        <f>+D456*F456</f>
        <v/>
      </c>
    </row>
    <row r="457">
      <c r="A457" s="8" t="n"/>
      <c r="B457" s="8" t="n"/>
      <c r="C457" s="21" t="n"/>
      <c r="D457" s="22" t="n"/>
      <c r="E457" s="22">
        <f>IFERROR(+VLOOKUP(C457,Master!B:C,2,0),"")</f>
        <v/>
      </c>
      <c r="F457" s="23">
        <f>LOOKUP(2,1/((Purchase!$D$1:$D$500=C457)*(Purchase!$A$1:$A$500&lt;=A457)),Purchase!$G$1:$G$500)</f>
        <v/>
      </c>
      <c r="G457" s="23">
        <f>+D457*F457</f>
        <v/>
      </c>
    </row>
    <row r="458">
      <c r="A458" s="8" t="n"/>
      <c r="B458" s="8" t="n"/>
      <c r="C458" s="21" t="n"/>
      <c r="D458" s="22" t="n"/>
      <c r="E458" s="22">
        <f>IFERROR(+VLOOKUP(C458,Master!B:C,2,0),"")</f>
        <v/>
      </c>
      <c r="F458" s="23">
        <f>LOOKUP(2,1/((Purchase!$D$1:$D$500=C458)*(Purchase!$A$1:$A$500&lt;=A458)),Purchase!$G$1:$G$500)</f>
        <v/>
      </c>
      <c r="G458" s="23">
        <f>+D458*F458</f>
        <v/>
      </c>
    </row>
    <row r="459">
      <c r="A459" s="8" t="n"/>
      <c r="B459" s="8" t="n"/>
      <c r="C459" s="21" t="n"/>
      <c r="D459" s="22" t="n"/>
      <c r="E459" s="22">
        <f>IFERROR(+VLOOKUP(C459,Master!B:C,2,0),"")</f>
        <v/>
      </c>
      <c r="F459" s="23">
        <f>LOOKUP(2,1/((Purchase!$D$1:$D$500=C459)*(Purchase!$A$1:$A$500&lt;=A459)),Purchase!$G$1:$G$500)</f>
        <v/>
      </c>
      <c r="G459" s="23">
        <f>+D459*F459</f>
        <v/>
      </c>
    </row>
    <row r="460">
      <c r="A460" s="8" t="n"/>
      <c r="B460" s="8" t="n"/>
      <c r="C460" s="21" t="n"/>
      <c r="D460" s="22" t="n"/>
      <c r="E460" s="22">
        <f>IFERROR(+VLOOKUP(C460,Master!B:C,2,0),"")</f>
        <v/>
      </c>
      <c r="F460" s="23">
        <f>LOOKUP(2,1/((Purchase!$D$1:$D$500=C460)*(Purchase!$A$1:$A$500&lt;=A460)),Purchase!$G$1:$G$500)</f>
        <v/>
      </c>
      <c r="G460" s="23">
        <f>+D460*F460</f>
        <v/>
      </c>
    </row>
    <row r="461">
      <c r="A461" s="8" t="n"/>
      <c r="B461" s="8" t="n"/>
      <c r="C461" s="21" t="n"/>
      <c r="D461" s="22" t="n"/>
      <c r="E461" s="22">
        <f>IFERROR(+VLOOKUP(C461,Master!B:C,2,0),"")</f>
        <v/>
      </c>
      <c r="F461" s="23">
        <f>LOOKUP(2,1/((Purchase!$D$1:$D$500=C461)*(Purchase!$A$1:$A$500&lt;=A461)),Purchase!$G$1:$G$500)</f>
        <v/>
      </c>
      <c r="G461" s="23">
        <f>+D461*F461</f>
        <v/>
      </c>
    </row>
    <row r="462">
      <c r="A462" s="8" t="n"/>
      <c r="B462" s="8" t="n"/>
      <c r="C462" s="21" t="n"/>
      <c r="D462" s="22" t="n"/>
      <c r="E462" s="22">
        <f>IFERROR(+VLOOKUP(C462,Master!B:C,2,0),"")</f>
        <v/>
      </c>
      <c r="F462" s="23">
        <f>LOOKUP(2,1/((Purchase!$D$1:$D$500=C462)*(Purchase!$A$1:$A$500&lt;=A462)),Purchase!$G$1:$G$500)</f>
        <v/>
      </c>
      <c r="G462" s="23">
        <f>+D462*F462</f>
        <v/>
      </c>
    </row>
    <row r="463">
      <c r="A463" s="8" t="n"/>
      <c r="B463" s="8" t="n"/>
      <c r="C463" s="21" t="n"/>
      <c r="D463" s="22" t="n"/>
      <c r="E463" s="22">
        <f>IFERROR(+VLOOKUP(C463,Master!B:C,2,0),"")</f>
        <v/>
      </c>
      <c r="F463" s="23">
        <f>LOOKUP(2,1/((Purchase!$D$1:$D$500=C463)*(Purchase!$A$1:$A$500&lt;=A463)),Purchase!$G$1:$G$500)</f>
        <v/>
      </c>
      <c r="G463" s="23">
        <f>+D463*F463</f>
        <v/>
      </c>
    </row>
    <row r="464">
      <c r="A464" s="8" t="n"/>
      <c r="B464" s="8" t="n"/>
      <c r="C464" s="21" t="n"/>
      <c r="D464" s="22" t="n"/>
      <c r="E464" s="22">
        <f>IFERROR(+VLOOKUP(C464,Master!B:C,2,0),"")</f>
        <v/>
      </c>
      <c r="F464" s="23">
        <f>LOOKUP(2,1/((Purchase!$D$1:$D$500=C464)*(Purchase!$A$1:$A$500&lt;=A464)),Purchase!$G$1:$G$500)</f>
        <v/>
      </c>
      <c r="G464" s="23">
        <f>+D464*F464</f>
        <v/>
      </c>
    </row>
    <row r="465">
      <c r="A465" s="8" t="n"/>
      <c r="B465" s="8" t="n"/>
      <c r="C465" s="21" t="n"/>
      <c r="D465" s="22" t="n"/>
      <c r="E465" s="22">
        <f>IFERROR(+VLOOKUP(C465,Master!B:C,2,0),"")</f>
        <v/>
      </c>
      <c r="F465" s="23">
        <f>LOOKUP(2,1/((Purchase!$D$1:$D$500=C465)*(Purchase!$A$1:$A$500&lt;=A465)),Purchase!$G$1:$G$500)</f>
        <v/>
      </c>
      <c r="G465" s="23">
        <f>+D465*F465</f>
        <v/>
      </c>
    </row>
    <row r="466">
      <c r="A466" s="8" t="n"/>
      <c r="B466" s="8" t="n"/>
      <c r="C466" s="21" t="n"/>
      <c r="D466" s="22" t="n"/>
      <c r="E466" s="22">
        <f>IFERROR(+VLOOKUP(C466,Master!B:C,2,0),"")</f>
        <v/>
      </c>
      <c r="F466" s="23">
        <f>LOOKUP(2,1/((Purchase!$D$1:$D$500=C466)*(Purchase!$A$1:$A$500&lt;=A466)),Purchase!$G$1:$G$500)</f>
        <v/>
      </c>
      <c r="G466" s="23">
        <f>+D466*F466</f>
        <v/>
      </c>
    </row>
    <row r="467">
      <c r="A467" s="8" t="n"/>
      <c r="B467" s="8" t="n"/>
      <c r="C467" s="21" t="n"/>
      <c r="D467" s="22" t="n"/>
      <c r="E467" s="22">
        <f>IFERROR(+VLOOKUP(C467,Master!B:C,2,0),"")</f>
        <v/>
      </c>
      <c r="F467" s="23">
        <f>LOOKUP(2,1/((Purchase!$D$1:$D$500=C467)*(Purchase!$A$1:$A$500&lt;=A467)),Purchase!$G$1:$G$500)</f>
        <v/>
      </c>
      <c r="G467" s="23">
        <f>+D467*F467</f>
        <v/>
      </c>
    </row>
    <row r="468">
      <c r="A468" s="8" t="n"/>
      <c r="B468" s="8" t="n"/>
      <c r="C468" s="21" t="n"/>
      <c r="D468" s="22" t="n"/>
      <c r="E468" s="22">
        <f>IFERROR(+VLOOKUP(C468,Master!B:C,2,0),"")</f>
        <v/>
      </c>
      <c r="F468" s="23">
        <f>LOOKUP(2,1/((Purchase!$D$1:$D$500=C468)*(Purchase!$A$1:$A$500&lt;=A468)),Purchase!$G$1:$G$500)</f>
        <v/>
      </c>
      <c r="G468" s="23">
        <f>+D468*F468</f>
        <v/>
      </c>
    </row>
    <row r="469">
      <c r="A469" s="8" t="n"/>
      <c r="B469" s="8" t="n"/>
      <c r="C469" s="21" t="n"/>
      <c r="D469" s="22" t="n"/>
      <c r="E469" s="22">
        <f>IFERROR(+VLOOKUP(C469,Master!B:C,2,0),"")</f>
        <v/>
      </c>
      <c r="F469" s="23">
        <f>LOOKUP(2,1/((Purchase!$D$1:$D$500=C469)*(Purchase!$A$1:$A$500&lt;=A469)),Purchase!$G$1:$G$500)</f>
        <v/>
      </c>
      <c r="G469" s="23">
        <f>+D469*F469</f>
        <v/>
      </c>
    </row>
    <row r="470">
      <c r="A470" s="8" t="n"/>
      <c r="B470" s="8" t="n"/>
      <c r="C470" s="21" t="n"/>
      <c r="D470" s="22" t="n"/>
      <c r="E470" s="22">
        <f>IFERROR(+VLOOKUP(C470,Master!B:C,2,0),"")</f>
        <v/>
      </c>
      <c r="F470" s="23">
        <f>LOOKUP(2,1/((Purchase!$D$1:$D$500=C470)*(Purchase!$A$1:$A$500&lt;=A470)),Purchase!$G$1:$G$500)</f>
        <v/>
      </c>
      <c r="G470" s="23">
        <f>+D470*F470</f>
        <v/>
      </c>
    </row>
    <row r="471">
      <c r="A471" s="8" t="n"/>
      <c r="B471" s="8" t="n"/>
      <c r="C471" s="21" t="n"/>
      <c r="D471" s="22" t="n"/>
      <c r="E471" s="22">
        <f>IFERROR(+VLOOKUP(C471,Master!B:C,2,0),"")</f>
        <v/>
      </c>
      <c r="F471" s="23">
        <f>LOOKUP(2,1/((Purchase!$D$1:$D$500=C471)*(Purchase!$A$1:$A$500&lt;=A471)),Purchase!$G$1:$G$500)</f>
        <v/>
      </c>
      <c r="G471" s="23">
        <f>+D471*F471</f>
        <v/>
      </c>
    </row>
    <row r="472">
      <c r="A472" s="8" t="n"/>
      <c r="B472" s="8" t="n"/>
      <c r="C472" s="21" t="n"/>
      <c r="D472" s="22" t="n"/>
      <c r="E472" s="22">
        <f>IFERROR(+VLOOKUP(C472,Master!B:C,2,0),"")</f>
        <v/>
      </c>
      <c r="F472" s="23">
        <f>LOOKUP(2,1/((Purchase!$D$1:$D$500=C472)*(Purchase!$A$1:$A$500&lt;=A472)),Purchase!$G$1:$G$500)</f>
        <v/>
      </c>
      <c r="G472" s="23">
        <f>+D472*F472</f>
        <v/>
      </c>
    </row>
    <row r="473">
      <c r="A473" s="8" t="n"/>
      <c r="B473" s="8" t="n"/>
      <c r="C473" s="21" t="n"/>
      <c r="D473" s="22" t="n"/>
      <c r="E473" s="22">
        <f>IFERROR(+VLOOKUP(C473,Master!B:C,2,0),"")</f>
        <v/>
      </c>
      <c r="F473" s="23">
        <f>LOOKUP(2,1/((Purchase!$D$1:$D$500=C473)*(Purchase!$A$1:$A$500&lt;=A473)),Purchase!$G$1:$G$500)</f>
        <v/>
      </c>
      <c r="G473" s="23">
        <f>+D473*F473</f>
        <v/>
      </c>
    </row>
    <row r="474">
      <c r="A474" s="8" t="n"/>
      <c r="B474" s="8" t="n"/>
      <c r="C474" s="21" t="n"/>
      <c r="D474" s="22" t="n"/>
      <c r="E474" s="22">
        <f>IFERROR(+VLOOKUP(C474,Master!B:C,2,0),"")</f>
        <v/>
      </c>
      <c r="F474" s="23">
        <f>LOOKUP(2,1/((Purchase!$D$1:$D$500=C474)*(Purchase!$A$1:$A$500&lt;=A474)),Purchase!$G$1:$G$500)</f>
        <v/>
      </c>
      <c r="G474" s="23">
        <f>+D474*F474</f>
        <v/>
      </c>
    </row>
    <row r="475">
      <c r="A475" s="8" t="n"/>
      <c r="B475" s="8" t="n"/>
      <c r="C475" s="21" t="n"/>
      <c r="D475" s="22" t="n"/>
      <c r="E475" s="22">
        <f>IFERROR(+VLOOKUP(C475,Master!B:C,2,0),"")</f>
        <v/>
      </c>
      <c r="F475" s="23">
        <f>LOOKUP(2,1/((Purchase!$D$1:$D$500=C475)*(Purchase!$A$1:$A$500&lt;=A475)),Purchase!$G$1:$G$500)</f>
        <v/>
      </c>
      <c r="G475" s="23">
        <f>+D475*F475</f>
        <v/>
      </c>
    </row>
    <row r="476">
      <c r="A476" s="8" t="n"/>
      <c r="B476" s="8" t="n"/>
      <c r="C476" s="21" t="n"/>
      <c r="D476" s="22" t="n"/>
      <c r="E476" s="22">
        <f>IFERROR(+VLOOKUP(C476,Master!B:C,2,0),"")</f>
        <v/>
      </c>
      <c r="F476" s="23">
        <f>LOOKUP(2,1/((Purchase!$D$1:$D$500=C476)*(Purchase!$A$1:$A$500&lt;=A476)),Purchase!$G$1:$G$500)</f>
        <v/>
      </c>
      <c r="G476" s="23">
        <f>+D476*F476</f>
        <v/>
      </c>
    </row>
    <row r="477">
      <c r="A477" s="8" t="n"/>
      <c r="B477" s="8" t="n"/>
      <c r="C477" s="21" t="n"/>
      <c r="D477" s="22" t="n"/>
      <c r="E477" s="22">
        <f>IFERROR(+VLOOKUP(C477,Master!B:C,2,0),"")</f>
        <v/>
      </c>
      <c r="F477" s="23">
        <f>LOOKUP(2,1/((Purchase!$D$1:$D$500=C477)*(Purchase!$A$1:$A$500&lt;=A477)),Purchase!$G$1:$G$500)</f>
        <v/>
      </c>
      <c r="G477" s="23">
        <f>+D477*F477</f>
        <v/>
      </c>
    </row>
    <row r="478">
      <c r="A478" s="8" t="n"/>
      <c r="B478" s="8" t="n"/>
      <c r="C478" s="21" t="n"/>
      <c r="D478" s="22" t="n"/>
      <c r="E478" s="22">
        <f>IFERROR(+VLOOKUP(C478,Master!B:C,2,0),"")</f>
        <v/>
      </c>
      <c r="F478" s="23">
        <f>LOOKUP(2,1/((Purchase!$D$1:$D$500=C478)*(Purchase!$A$1:$A$500&lt;=A478)),Purchase!$G$1:$G$500)</f>
        <v/>
      </c>
      <c r="G478" s="23">
        <f>+D478*F478</f>
        <v/>
      </c>
    </row>
    <row r="479">
      <c r="A479" s="8" t="n"/>
      <c r="B479" s="8" t="n"/>
      <c r="C479" s="21" t="n"/>
      <c r="D479" s="22" t="n"/>
      <c r="E479" s="22">
        <f>IFERROR(+VLOOKUP(C479,Master!B:C,2,0),"")</f>
        <v/>
      </c>
      <c r="F479" s="23">
        <f>LOOKUP(2,1/((Purchase!$D$1:$D$500=C479)*(Purchase!$A$1:$A$500&lt;=A479)),Purchase!$G$1:$G$500)</f>
        <v/>
      </c>
      <c r="G479" s="23">
        <f>+D479*F479</f>
        <v/>
      </c>
    </row>
    <row r="480">
      <c r="A480" s="8" t="n"/>
      <c r="B480" s="8" t="n"/>
      <c r="C480" s="21" t="n"/>
      <c r="D480" s="22" t="n"/>
      <c r="E480" s="22">
        <f>IFERROR(+VLOOKUP(C480,Master!B:C,2,0),"")</f>
        <v/>
      </c>
      <c r="F480" s="23">
        <f>LOOKUP(2,1/((Purchase!$D$1:$D$500=C480)*(Purchase!$A$1:$A$500&lt;=A480)),Purchase!$G$1:$G$500)</f>
        <v/>
      </c>
      <c r="G480" s="23">
        <f>+D480*F480</f>
        <v/>
      </c>
    </row>
    <row r="481">
      <c r="A481" s="8" t="n"/>
      <c r="B481" s="8" t="n"/>
      <c r="C481" s="21" t="n"/>
      <c r="D481" s="22" t="n"/>
      <c r="E481" s="22">
        <f>IFERROR(+VLOOKUP(C481,Master!B:C,2,0),"")</f>
        <v/>
      </c>
      <c r="F481" s="23">
        <f>LOOKUP(2,1/((Purchase!$D$1:$D$500=C481)*(Purchase!$A$1:$A$500&lt;=A481)),Purchase!$G$1:$G$500)</f>
        <v/>
      </c>
      <c r="G481" s="23">
        <f>+D481*F481</f>
        <v/>
      </c>
    </row>
    <row r="482">
      <c r="A482" s="8" t="n"/>
      <c r="B482" s="8" t="n"/>
      <c r="C482" s="21" t="n"/>
      <c r="D482" s="22" t="n"/>
      <c r="E482" s="22">
        <f>IFERROR(+VLOOKUP(C482,Master!B:C,2,0),"")</f>
        <v/>
      </c>
      <c r="F482" s="23">
        <f>LOOKUP(2,1/((Purchase!$D$1:$D$500=C482)*(Purchase!$A$1:$A$500&lt;=A482)),Purchase!$G$1:$G$500)</f>
        <v/>
      </c>
      <c r="G482" s="23">
        <f>+D482*F482</f>
        <v/>
      </c>
    </row>
    <row r="483">
      <c r="A483" s="8" t="n"/>
      <c r="B483" s="8" t="n"/>
      <c r="C483" s="21" t="n"/>
      <c r="D483" s="22" t="n"/>
      <c r="E483" s="22">
        <f>IFERROR(+VLOOKUP(C483,Master!B:C,2,0),"")</f>
        <v/>
      </c>
      <c r="F483" s="23">
        <f>LOOKUP(2,1/((Purchase!$D$1:$D$500=C483)*(Purchase!$A$1:$A$500&lt;=A483)),Purchase!$G$1:$G$500)</f>
        <v/>
      </c>
      <c r="G483" s="23">
        <f>+D483*F483</f>
        <v/>
      </c>
    </row>
    <row r="484">
      <c r="A484" s="8" t="n"/>
      <c r="B484" s="8" t="n"/>
      <c r="C484" s="21" t="n"/>
      <c r="D484" s="22" t="n"/>
      <c r="E484" s="22">
        <f>IFERROR(+VLOOKUP(C484,Master!B:C,2,0),"")</f>
        <v/>
      </c>
      <c r="F484" s="23">
        <f>LOOKUP(2,1/((Purchase!$D$1:$D$500=C484)*(Purchase!$A$1:$A$500&lt;=A484)),Purchase!$G$1:$G$500)</f>
        <v/>
      </c>
      <c r="G484" s="23">
        <f>+D484*F484</f>
        <v/>
      </c>
    </row>
    <row r="485">
      <c r="A485" s="8" t="n"/>
      <c r="B485" s="8" t="n"/>
      <c r="C485" s="21" t="n"/>
      <c r="D485" s="22" t="n"/>
      <c r="E485" s="22">
        <f>IFERROR(+VLOOKUP(C485,Master!B:C,2,0),"")</f>
        <v/>
      </c>
      <c r="F485" s="23">
        <f>LOOKUP(2,1/((Purchase!$D$1:$D$500=C485)*(Purchase!$A$1:$A$500&lt;=A485)),Purchase!$G$1:$G$500)</f>
        <v/>
      </c>
      <c r="G485" s="23">
        <f>+D485*F485</f>
        <v/>
      </c>
    </row>
    <row r="486">
      <c r="A486" s="8" t="n"/>
      <c r="B486" s="8" t="n"/>
      <c r="C486" s="21" t="n"/>
      <c r="D486" s="22" t="n"/>
      <c r="E486" s="22">
        <f>IFERROR(+VLOOKUP(C486,Master!B:C,2,0),"")</f>
        <v/>
      </c>
      <c r="F486" s="23">
        <f>LOOKUP(2,1/((Purchase!$D$1:$D$500=C486)*(Purchase!$A$1:$A$500&lt;=A486)),Purchase!$G$1:$G$500)</f>
        <v/>
      </c>
      <c r="G486" s="23">
        <f>+D486*F486</f>
        <v/>
      </c>
    </row>
    <row r="487">
      <c r="A487" s="8" t="n"/>
      <c r="B487" s="8" t="n"/>
      <c r="C487" s="21" t="n"/>
      <c r="D487" s="22" t="n"/>
      <c r="E487" s="22">
        <f>IFERROR(+VLOOKUP(C487,Master!B:C,2,0),"")</f>
        <v/>
      </c>
      <c r="F487" s="23">
        <f>LOOKUP(2,1/((Purchase!$D$1:$D$500=C487)*(Purchase!$A$1:$A$500&lt;=A487)),Purchase!$G$1:$G$500)</f>
        <v/>
      </c>
      <c r="G487" s="23">
        <f>+D487*F487</f>
        <v/>
      </c>
    </row>
    <row r="488">
      <c r="A488" s="8" t="n"/>
      <c r="B488" s="8" t="n"/>
      <c r="C488" s="21" t="n"/>
      <c r="D488" s="22" t="n"/>
      <c r="E488" s="22">
        <f>IFERROR(+VLOOKUP(C488,Master!B:C,2,0),"")</f>
        <v/>
      </c>
      <c r="F488" s="23">
        <f>LOOKUP(2,1/((Purchase!$D$1:$D$500=C488)*(Purchase!$A$1:$A$500&lt;=A488)),Purchase!$G$1:$G$500)</f>
        <v/>
      </c>
      <c r="G488" s="23">
        <f>+D488*F488</f>
        <v/>
      </c>
    </row>
    <row r="489">
      <c r="A489" s="8" t="n"/>
      <c r="B489" s="8" t="n"/>
      <c r="C489" s="21" t="n"/>
      <c r="D489" s="22" t="n"/>
      <c r="E489" s="22">
        <f>IFERROR(+VLOOKUP(C489,Master!B:C,2,0),"")</f>
        <v/>
      </c>
      <c r="F489" s="23">
        <f>LOOKUP(2,1/((Purchase!$D$1:$D$500=C489)*(Purchase!$A$1:$A$500&lt;=A489)),Purchase!$G$1:$G$500)</f>
        <v/>
      </c>
      <c r="G489" s="23">
        <f>+D489*F489</f>
        <v/>
      </c>
    </row>
    <row r="490">
      <c r="A490" s="8" t="n"/>
      <c r="B490" s="8" t="n"/>
      <c r="C490" s="21" t="n"/>
      <c r="D490" s="22" t="n"/>
      <c r="E490" s="22">
        <f>IFERROR(+VLOOKUP(C490,Master!B:C,2,0),"")</f>
        <v/>
      </c>
      <c r="F490" s="23">
        <f>LOOKUP(2,1/((Purchase!$D$1:$D$500=C490)*(Purchase!$A$1:$A$500&lt;=A490)),Purchase!$G$1:$G$500)</f>
        <v/>
      </c>
      <c r="G490" s="23">
        <f>+D490*F490</f>
        <v/>
      </c>
    </row>
    <row r="491">
      <c r="A491" s="8" t="n"/>
      <c r="B491" s="8" t="n"/>
      <c r="C491" s="21" t="n"/>
      <c r="D491" s="22" t="n"/>
      <c r="E491" s="22">
        <f>IFERROR(+VLOOKUP(C491,Master!B:C,2,0),"")</f>
        <v/>
      </c>
      <c r="F491" s="23">
        <f>LOOKUP(2,1/((Purchase!$D$1:$D$500=C491)*(Purchase!$A$1:$A$500&lt;=A491)),Purchase!$G$1:$G$500)</f>
        <v/>
      </c>
      <c r="G491" s="23">
        <f>+D491*F491</f>
        <v/>
      </c>
    </row>
    <row r="492">
      <c r="A492" s="8" t="n"/>
      <c r="B492" s="8" t="n"/>
      <c r="C492" s="21" t="n"/>
      <c r="D492" s="22" t="n"/>
      <c r="E492" s="22">
        <f>IFERROR(+VLOOKUP(C492,Master!B:C,2,0),"")</f>
        <v/>
      </c>
      <c r="F492" s="23">
        <f>LOOKUP(2,1/((Purchase!$D$1:$D$500=C492)*(Purchase!$A$1:$A$500&lt;=A492)),Purchase!$G$1:$G$500)</f>
        <v/>
      </c>
      <c r="G492" s="23">
        <f>+D492*F492</f>
        <v/>
      </c>
    </row>
    <row r="493">
      <c r="A493" s="8" t="n"/>
      <c r="B493" s="8" t="n"/>
      <c r="C493" s="21" t="n"/>
      <c r="D493" s="22" t="n"/>
      <c r="E493" s="22">
        <f>IFERROR(+VLOOKUP(C493,Master!B:C,2,0),"")</f>
        <v/>
      </c>
      <c r="F493" s="23">
        <f>LOOKUP(2,1/((Purchase!$D$1:$D$500=C493)*(Purchase!$A$1:$A$500&lt;=A493)),Purchase!$G$1:$G$500)</f>
        <v/>
      </c>
      <c r="G493" s="23">
        <f>+D493*F493</f>
        <v/>
      </c>
    </row>
    <row r="494">
      <c r="A494" s="8" t="n"/>
      <c r="B494" s="8" t="n"/>
      <c r="C494" s="21" t="n"/>
      <c r="D494" s="22" t="n"/>
      <c r="E494" s="22">
        <f>IFERROR(+VLOOKUP(C494,Master!B:C,2,0),"")</f>
        <v/>
      </c>
      <c r="F494" s="23">
        <f>LOOKUP(2,1/((Purchase!$D$1:$D$500=C494)*(Purchase!$A$1:$A$500&lt;=A494)),Purchase!$G$1:$G$500)</f>
        <v/>
      </c>
      <c r="G494" s="23">
        <f>+D494*F494</f>
        <v/>
      </c>
    </row>
    <row r="495">
      <c r="A495" s="8" t="n"/>
      <c r="B495" s="8" t="n"/>
      <c r="C495" s="21" t="n"/>
      <c r="D495" s="22" t="n"/>
      <c r="E495" s="22">
        <f>IFERROR(+VLOOKUP(C495,Master!B:C,2,0),"")</f>
        <v/>
      </c>
      <c r="F495" s="23">
        <f>LOOKUP(2,1/((Purchase!$D$1:$D$500=C495)*(Purchase!$A$1:$A$500&lt;=A495)),Purchase!$G$1:$G$500)</f>
        <v/>
      </c>
      <c r="G495" s="23">
        <f>+D495*F495</f>
        <v/>
      </c>
    </row>
    <row r="496">
      <c r="A496" s="8" t="n"/>
      <c r="B496" s="8" t="n"/>
      <c r="C496" s="21" t="n"/>
      <c r="D496" s="22" t="n"/>
      <c r="E496" s="22">
        <f>IFERROR(+VLOOKUP(C496,Master!B:C,2,0),"")</f>
        <v/>
      </c>
      <c r="F496" s="23">
        <f>LOOKUP(2,1/((Purchase!$D$1:$D$500=C496)*(Purchase!$A$1:$A$500&lt;=A496)),Purchase!$G$1:$G$500)</f>
        <v/>
      </c>
      <c r="G496" s="23">
        <f>+D496*F496</f>
        <v/>
      </c>
    </row>
    <row r="497">
      <c r="A497" s="8" t="n"/>
      <c r="B497" s="8" t="n"/>
      <c r="C497" s="21" t="n"/>
      <c r="D497" s="22" t="n"/>
      <c r="E497" s="22">
        <f>IFERROR(+VLOOKUP(C497,Master!B:C,2,0),"")</f>
        <v/>
      </c>
      <c r="F497" s="23">
        <f>LOOKUP(2,1/((Purchase!$D$1:$D$500=C497)*(Purchase!$A$1:$A$500&lt;=A497)),Purchase!$G$1:$G$500)</f>
        <v/>
      </c>
      <c r="G497" s="23">
        <f>+D497*F497</f>
        <v/>
      </c>
    </row>
    <row r="498">
      <c r="A498" s="8" t="n"/>
      <c r="B498" s="8" t="n"/>
      <c r="C498" s="21" t="n"/>
      <c r="D498" s="22" t="n"/>
      <c r="E498" s="22">
        <f>IFERROR(+VLOOKUP(C498,Master!B:C,2,0),"")</f>
        <v/>
      </c>
      <c r="F498" s="23">
        <f>LOOKUP(2,1/((Purchase!$D$1:$D$500=C498)*(Purchase!$A$1:$A$500&lt;=A498)),Purchase!$G$1:$G$500)</f>
        <v/>
      </c>
      <c r="G498" s="23">
        <f>+D498*F498</f>
        <v/>
      </c>
    </row>
    <row r="499">
      <c r="A499" s="8" t="n"/>
      <c r="B499" s="8" t="n"/>
      <c r="C499" s="21" t="n"/>
      <c r="D499" s="22" t="n"/>
      <c r="E499" s="22">
        <f>IFERROR(+VLOOKUP(C499,Master!B:C,2,0),"")</f>
        <v/>
      </c>
      <c r="F499" s="23">
        <f>LOOKUP(2,1/((Purchase!$D$1:$D$500=C499)*(Purchase!$A$1:$A$500&lt;=A499)),Purchase!$G$1:$G$500)</f>
        <v/>
      </c>
      <c r="G499" s="23">
        <f>+D499*F499</f>
        <v/>
      </c>
    </row>
    <row r="500">
      <c r="A500" s="8" t="n"/>
      <c r="B500" s="8" t="n"/>
      <c r="C500" s="21" t="n"/>
      <c r="D500" s="22" t="n"/>
      <c r="E500" s="22">
        <f>IFERROR(+VLOOKUP(C500,Master!B:C,2,0),"")</f>
        <v/>
      </c>
      <c r="F500" s="23">
        <f>LOOKUP(2,1/((Purchase!$D$1:$D$500=C500)*(Purchase!$A$1:$A$500&lt;=A500)),Purchase!$G$1:$G$500)</f>
        <v/>
      </c>
      <c r="G500" s="23">
        <f>+D500*F500</f>
        <v/>
      </c>
    </row>
    <row r="501">
      <c r="A501" s="8" t="n"/>
      <c r="B501" s="8" t="n"/>
      <c r="C501" s="21" t="n"/>
      <c r="D501" s="22" t="n"/>
      <c r="E501" s="22">
        <f>IFERROR(+VLOOKUP(C501,Master!B:C,2,0),"")</f>
        <v/>
      </c>
      <c r="F501" s="23">
        <f>LOOKUP(2,1/((Purchase!$D$1:$D$500=C501)*(Purchase!$A$1:$A$500&lt;=A501)),Purchase!$G$1:$G$500)</f>
        <v/>
      </c>
      <c r="G501" s="23">
        <f>+D501*F501</f>
        <v/>
      </c>
    </row>
    <row r="502">
      <c r="A502" s="8" t="n"/>
      <c r="B502" s="8" t="n"/>
      <c r="C502" s="21" t="n"/>
      <c r="D502" s="22" t="n"/>
      <c r="E502" s="22">
        <f>IFERROR(+VLOOKUP(C502,Master!B:C,2,0),"")</f>
        <v/>
      </c>
      <c r="F502" s="23">
        <f>LOOKUP(2,1/((Purchase!$D$1:$D$500=C502)*(Purchase!$A$1:$A$500&lt;=A502)),Purchase!$G$1:$G$500)</f>
        <v/>
      </c>
      <c r="G502" s="23">
        <f>+D502*F502</f>
        <v/>
      </c>
    </row>
    <row r="503">
      <c r="A503" s="8" t="n"/>
      <c r="B503" s="8" t="n"/>
      <c r="C503" s="21" t="n"/>
      <c r="D503" s="22" t="n"/>
      <c r="E503" s="22">
        <f>IFERROR(+VLOOKUP(C503,Master!B:C,2,0),"")</f>
        <v/>
      </c>
      <c r="F503" s="23">
        <f>LOOKUP(2,1/((Purchase!$D$1:$D$500=C503)*(Purchase!$A$1:$A$500&lt;=A503)),Purchase!$G$1:$G$500)</f>
        <v/>
      </c>
      <c r="G503" s="23">
        <f>+D503*F503</f>
        <v/>
      </c>
    </row>
    <row r="504">
      <c r="A504" s="8" t="n"/>
      <c r="B504" s="8" t="n"/>
      <c r="C504" s="21" t="n"/>
      <c r="D504" s="22" t="n"/>
      <c r="E504" s="22">
        <f>IFERROR(+VLOOKUP(C504,Master!B:C,2,0),"")</f>
        <v/>
      </c>
      <c r="F504" s="23">
        <f>LOOKUP(2,1/((Purchase!$D$1:$D$500=C504)*(Purchase!$A$1:$A$500&lt;=A504)),Purchase!$G$1:$G$500)</f>
        <v/>
      </c>
      <c r="G504" s="23">
        <f>+D504*F504</f>
        <v/>
      </c>
    </row>
    <row r="505">
      <c r="A505" s="8" t="n"/>
      <c r="B505" s="8" t="n"/>
      <c r="C505" s="21" t="n"/>
      <c r="D505" s="22" t="n"/>
      <c r="E505" s="22">
        <f>IFERROR(+VLOOKUP(C505,Master!B:C,2,0),"")</f>
        <v/>
      </c>
      <c r="F505" s="23">
        <f>LOOKUP(2,1/((Purchase!$D$1:$D$500=C505)*(Purchase!$A$1:$A$500&lt;=A505)),Purchase!$G$1:$G$500)</f>
        <v/>
      </c>
      <c r="G505" s="23">
        <f>+D505*F505</f>
        <v/>
      </c>
    </row>
    <row r="506">
      <c r="A506" s="8" t="n"/>
      <c r="B506" s="8" t="n"/>
      <c r="C506" s="21" t="n"/>
      <c r="D506" s="22" t="n"/>
      <c r="E506" s="22">
        <f>IFERROR(+VLOOKUP(C506,Master!B:C,2,0),"")</f>
        <v/>
      </c>
      <c r="F506" s="23">
        <f>LOOKUP(2,1/((Purchase!$D$1:$D$500=C506)*(Purchase!$A$1:$A$500&lt;=A506)),Purchase!$G$1:$G$500)</f>
        <v/>
      </c>
      <c r="G506" s="23">
        <f>+D506*F506</f>
        <v/>
      </c>
    </row>
    <row r="507">
      <c r="A507" s="8" t="n"/>
      <c r="B507" s="8" t="n"/>
      <c r="C507" s="21" t="n"/>
      <c r="D507" s="22" t="n"/>
      <c r="E507" s="22">
        <f>IFERROR(+VLOOKUP(C507,Master!B:C,2,0),"")</f>
        <v/>
      </c>
      <c r="F507" s="23">
        <f>LOOKUP(2,1/((Purchase!$D$1:$D$500=C507)*(Purchase!$A$1:$A$500&lt;=A507)),Purchase!$G$1:$G$500)</f>
        <v/>
      </c>
      <c r="G507" s="23">
        <f>+D507*F507</f>
        <v/>
      </c>
    </row>
    <row r="508">
      <c r="A508" s="8" t="n"/>
      <c r="B508" s="8" t="n"/>
      <c r="C508" s="21" t="n"/>
      <c r="D508" s="22" t="n"/>
      <c r="E508" s="22">
        <f>IFERROR(+VLOOKUP(C508,Master!B:C,2,0),"")</f>
        <v/>
      </c>
      <c r="F508" s="23">
        <f>LOOKUP(2,1/((Purchase!$D$1:$D$500=C508)*(Purchase!$A$1:$A$500&lt;=A508)),Purchase!$G$1:$G$500)</f>
        <v/>
      </c>
      <c r="G508" s="23">
        <f>+D508*F508</f>
        <v/>
      </c>
    </row>
    <row r="509">
      <c r="A509" s="8" t="n"/>
      <c r="B509" s="8" t="n"/>
      <c r="C509" s="21" t="n"/>
      <c r="D509" s="22" t="n"/>
      <c r="E509" s="22">
        <f>IFERROR(+VLOOKUP(C509,Master!B:C,2,0),"")</f>
        <v/>
      </c>
      <c r="F509" s="23">
        <f>LOOKUP(2,1/((Purchase!$D$1:$D$500=C509)*(Purchase!$A$1:$A$500&lt;=A509)),Purchase!$G$1:$G$500)</f>
        <v/>
      </c>
      <c r="G509" s="23">
        <f>+D509*F509</f>
        <v/>
      </c>
    </row>
    <row r="510">
      <c r="A510" s="8" t="n"/>
      <c r="B510" s="8" t="n"/>
      <c r="C510" s="21" t="n"/>
      <c r="D510" s="22" t="n"/>
      <c r="E510" s="22">
        <f>IFERROR(+VLOOKUP(C510,Master!B:C,2,0),"")</f>
        <v/>
      </c>
      <c r="F510" s="23">
        <f>LOOKUP(2,1/((Purchase!$D$1:$D$500=C510)*(Purchase!$A$1:$A$500&lt;=A510)),Purchase!$G$1:$G$500)</f>
        <v/>
      </c>
      <c r="G510" s="23">
        <f>+D510*F510</f>
        <v/>
      </c>
    </row>
    <row r="511">
      <c r="A511" s="8" t="n"/>
      <c r="B511" s="8" t="n"/>
      <c r="C511" s="21" t="n"/>
      <c r="D511" s="22" t="n"/>
      <c r="E511" s="22">
        <f>IFERROR(+VLOOKUP(C511,Master!B:C,2,0),"")</f>
        <v/>
      </c>
      <c r="F511" s="23">
        <f>LOOKUP(2,1/((Purchase!$D$1:$D$500=C511)*(Purchase!$A$1:$A$500&lt;=A511)),Purchase!$G$1:$G$500)</f>
        <v/>
      </c>
      <c r="G511" s="23">
        <f>+D511*F511</f>
        <v/>
      </c>
    </row>
    <row r="512">
      <c r="A512" s="8" t="n"/>
      <c r="B512" s="8" t="n"/>
      <c r="C512" s="21" t="n"/>
      <c r="D512" s="22" t="n"/>
      <c r="E512" s="22">
        <f>IFERROR(+VLOOKUP(C512,Master!B:C,2,0),"")</f>
        <v/>
      </c>
      <c r="F512" s="23">
        <f>LOOKUP(2,1/((Purchase!$D$1:$D$500=C512)*(Purchase!$A$1:$A$500&lt;=A512)),Purchase!$G$1:$G$500)</f>
        <v/>
      </c>
      <c r="G512" s="23">
        <f>+D512*F512</f>
        <v/>
      </c>
    </row>
    <row r="513">
      <c r="A513" s="8" t="n"/>
      <c r="B513" s="8" t="n"/>
      <c r="C513" s="21" t="n"/>
      <c r="D513" s="22" t="n"/>
      <c r="E513" s="22">
        <f>IFERROR(+VLOOKUP(C513,Master!B:C,2,0),"")</f>
        <v/>
      </c>
      <c r="F513" s="23">
        <f>LOOKUP(2,1/((Purchase!$D$1:$D$500=C513)*(Purchase!$A$1:$A$500&lt;=A513)),Purchase!$G$1:$G$500)</f>
        <v/>
      </c>
      <c r="G513" s="23">
        <f>+D513*F513</f>
        <v/>
      </c>
    </row>
    <row r="514">
      <c r="A514" s="8" t="n"/>
      <c r="B514" s="8" t="n"/>
      <c r="C514" s="21" t="n"/>
      <c r="D514" s="22" t="n"/>
      <c r="E514" s="22">
        <f>IFERROR(+VLOOKUP(C514,Master!B:C,2,0),"")</f>
        <v/>
      </c>
      <c r="F514" s="23">
        <f>LOOKUP(2,1/((Purchase!$D$1:$D$500=C514)*(Purchase!$A$1:$A$500&lt;=A514)),Purchase!$G$1:$G$500)</f>
        <v/>
      </c>
      <c r="G514" s="23">
        <f>+D514*F514</f>
        <v/>
      </c>
    </row>
    <row r="515">
      <c r="A515" s="8" t="n"/>
      <c r="B515" s="8" t="n"/>
      <c r="C515" s="21" t="n"/>
      <c r="D515" s="22" t="n"/>
      <c r="E515" s="22">
        <f>IFERROR(+VLOOKUP(C515,Master!B:C,2,0),"")</f>
        <v/>
      </c>
      <c r="F515" s="23">
        <f>LOOKUP(2,1/((Purchase!$D$1:$D$500=C515)*(Purchase!$A$1:$A$500&lt;=A515)),Purchase!$G$1:$G$500)</f>
        <v/>
      </c>
      <c r="G515" s="23">
        <f>+D515*F515</f>
        <v/>
      </c>
    </row>
    <row r="516">
      <c r="A516" s="8" t="n"/>
      <c r="B516" s="8" t="n"/>
      <c r="C516" s="21" t="n"/>
      <c r="D516" s="22" t="n"/>
      <c r="E516" s="22">
        <f>IFERROR(+VLOOKUP(C516,Master!B:C,2,0),"")</f>
        <v/>
      </c>
      <c r="F516" s="23">
        <f>LOOKUP(2,1/((Purchase!$D$1:$D$500=C516)*(Purchase!$A$1:$A$500&lt;=A516)),Purchase!$G$1:$G$500)</f>
        <v/>
      </c>
      <c r="G516" s="23">
        <f>+D516*F516</f>
        <v/>
      </c>
    </row>
    <row r="517">
      <c r="A517" s="8" t="n"/>
      <c r="B517" s="8" t="n"/>
      <c r="C517" s="21" t="n"/>
      <c r="D517" s="22" t="n"/>
      <c r="E517" s="22">
        <f>IFERROR(+VLOOKUP(C517,Master!B:C,2,0),"")</f>
        <v/>
      </c>
      <c r="F517" s="23">
        <f>LOOKUP(2,1/((Purchase!$D$1:$D$500=C517)*(Purchase!$A$1:$A$500&lt;=A517)),Purchase!$G$1:$G$500)</f>
        <v/>
      </c>
      <c r="G517" s="23">
        <f>+D517*F517</f>
        <v/>
      </c>
    </row>
    <row r="518">
      <c r="A518" s="8" t="n"/>
      <c r="B518" s="8" t="n"/>
      <c r="C518" s="21" t="n"/>
      <c r="D518" s="22" t="n"/>
      <c r="E518" s="22">
        <f>IFERROR(+VLOOKUP(C518,Master!B:C,2,0),"")</f>
        <v/>
      </c>
      <c r="F518" s="23">
        <f>LOOKUP(2,1/((Purchase!$D$1:$D$500=C518)*(Purchase!$A$1:$A$500&lt;=A518)),Purchase!$G$1:$G$500)</f>
        <v/>
      </c>
      <c r="G518" s="23">
        <f>+D518*F518</f>
        <v/>
      </c>
    </row>
    <row r="519">
      <c r="A519" s="8" t="n"/>
      <c r="B519" s="8" t="n"/>
      <c r="C519" s="21" t="n"/>
      <c r="D519" s="22" t="n"/>
      <c r="E519" s="22">
        <f>IFERROR(+VLOOKUP(C519,Master!B:C,2,0),"")</f>
        <v/>
      </c>
      <c r="F519" s="23">
        <f>LOOKUP(2,1/((Purchase!$D$1:$D$500=C519)*(Purchase!$A$1:$A$500&lt;=A519)),Purchase!$G$1:$G$500)</f>
        <v/>
      </c>
      <c r="G519" s="23">
        <f>+D519*F519</f>
        <v/>
      </c>
    </row>
    <row r="520">
      <c r="A520" s="8" t="n"/>
      <c r="B520" s="8" t="n"/>
      <c r="C520" s="21" t="n"/>
      <c r="D520" s="22" t="n"/>
      <c r="E520" s="22">
        <f>IFERROR(+VLOOKUP(C520,Master!B:C,2,0),"")</f>
        <v/>
      </c>
      <c r="F520" s="23">
        <f>LOOKUP(2,1/((Purchase!$D$1:$D$500=C520)*(Purchase!$A$1:$A$500&lt;=A520)),Purchase!$G$1:$G$500)</f>
        <v/>
      </c>
      <c r="G520" s="23">
        <f>+D520*F520</f>
        <v/>
      </c>
    </row>
    <row r="521">
      <c r="A521" s="8" t="n"/>
      <c r="B521" s="8" t="n"/>
      <c r="C521" s="21" t="n"/>
      <c r="D521" s="22" t="n"/>
      <c r="E521" s="22">
        <f>IFERROR(+VLOOKUP(C521,Master!B:C,2,0),"")</f>
        <v/>
      </c>
      <c r="F521" s="23">
        <f>LOOKUP(2,1/((Purchase!$D$1:$D$500=C521)*(Purchase!$A$1:$A$500&lt;=A521)),Purchase!$G$1:$G$500)</f>
        <v/>
      </c>
      <c r="G521" s="23">
        <f>+D521*F521</f>
        <v/>
      </c>
    </row>
    <row r="522">
      <c r="A522" s="8" t="n"/>
      <c r="B522" s="8" t="n"/>
      <c r="C522" s="21" t="n"/>
      <c r="D522" s="22" t="n"/>
      <c r="E522" s="22">
        <f>IFERROR(+VLOOKUP(C522,Master!B:C,2,0),"")</f>
        <v/>
      </c>
      <c r="F522" s="23">
        <f>LOOKUP(2,1/((Purchase!$D$1:$D$500=C522)*(Purchase!$A$1:$A$500&lt;=A522)),Purchase!$G$1:$G$500)</f>
        <v/>
      </c>
      <c r="G522" s="23">
        <f>+D522*F522</f>
        <v/>
      </c>
    </row>
    <row r="523">
      <c r="A523" s="8" t="n"/>
      <c r="B523" s="8" t="n"/>
      <c r="C523" s="21" t="n"/>
      <c r="D523" s="22" t="n"/>
      <c r="E523" s="22">
        <f>IFERROR(+VLOOKUP(C523,Master!B:C,2,0),"")</f>
        <v/>
      </c>
      <c r="F523" s="23">
        <f>LOOKUP(2,1/((Purchase!$D$1:$D$500=C523)*(Purchase!$A$1:$A$500&lt;=A523)),Purchase!$G$1:$G$500)</f>
        <v/>
      </c>
      <c r="G523" s="23">
        <f>+D523*F523</f>
        <v/>
      </c>
    </row>
    <row r="524">
      <c r="A524" s="8" t="n"/>
      <c r="B524" s="8" t="n"/>
      <c r="C524" s="21" t="n"/>
      <c r="D524" s="22" t="n"/>
      <c r="E524" s="22">
        <f>IFERROR(+VLOOKUP(C524,Master!B:C,2,0),"")</f>
        <v/>
      </c>
      <c r="F524" s="23">
        <f>LOOKUP(2,1/((Purchase!$D$1:$D$500=C524)*(Purchase!$A$1:$A$500&lt;=A524)),Purchase!$G$1:$G$500)</f>
        <v/>
      </c>
      <c r="G524" s="23">
        <f>+D524*F524</f>
        <v/>
      </c>
    </row>
    <row r="525">
      <c r="A525" s="8" t="n"/>
      <c r="B525" s="8" t="n"/>
      <c r="C525" s="21" t="n"/>
      <c r="D525" s="22" t="n"/>
      <c r="E525" s="22">
        <f>IFERROR(+VLOOKUP(C525,Master!B:C,2,0),"")</f>
        <v/>
      </c>
      <c r="F525" s="23">
        <f>LOOKUP(2,1/((Purchase!$D$1:$D$500=C525)*(Purchase!$A$1:$A$500&lt;=A525)),Purchase!$G$1:$G$500)</f>
        <v/>
      </c>
      <c r="G525" s="23">
        <f>+D525*F525</f>
        <v/>
      </c>
    </row>
    <row r="526">
      <c r="A526" s="8" t="n"/>
      <c r="B526" s="8" t="n"/>
      <c r="C526" s="21" t="n"/>
      <c r="D526" s="22" t="n"/>
      <c r="E526" s="22">
        <f>IFERROR(+VLOOKUP(C526,Master!B:C,2,0),"")</f>
        <v/>
      </c>
      <c r="F526" s="23">
        <f>LOOKUP(2,1/((Purchase!$D$1:$D$500=C526)*(Purchase!$A$1:$A$500&lt;=A526)),Purchase!$G$1:$G$500)</f>
        <v/>
      </c>
      <c r="G526" s="23">
        <f>+D526*F526</f>
        <v/>
      </c>
    </row>
    <row r="527">
      <c r="A527" s="8" t="n"/>
      <c r="B527" s="8" t="n"/>
      <c r="C527" s="21" t="n"/>
      <c r="D527" s="22" t="n"/>
      <c r="E527" s="22">
        <f>IFERROR(+VLOOKUP(C527,Master!B:C,2,0),"")</f>
        <v/>
      </c>
      <c r="F527" s="23">
        <f>LOOKUP(2,1/((Purchase!$D$1:$D$500=C527)*(Purchase!$A$1:$A$500&lt;=A527)),Purchase!$G$1:$G$500)</f>
        <v/>
      </c>
      <c r="G527" s="23">
        <f>+D527*F527</f>
        <v/>
      </c>
    </row>
    <row r="528">
      <c r="A528" s="8" t="n"/>
      <c r="B528" s="8" t="n"/>
      <c r="C528" s="21" t="n"/>
      <c r="D528" s="22" t="n"/>
      <c r="E528" s="22">
        <f>IFERROR(+VLOOKUP(C528,Master!B:C,2,0),"")</f>
        <v/>
      </c>
      <c r="F528" s="23">
        <f>LOOKUP(2,1/((Purchase!$D$1:$D$500=C528)*(Purchase!$A$1:$A$500&lt;=A528)),Purchase!$G$1:$G$500)</f>
        <v/>
      </c>
      <c r="G528" s="23">
        <f>+D528*F528</f>
        <v/>
      </c>
    </row>
    <row r="529">
      <c r="A529" s="8" t="n"/>
      <c r="B529" s="8" t="n"/>
      <c r="C529" s="21" t="n"/>
      <c r="D529" s="22" t="n"/>
      <c r="E529" s="22">
        <f>IFERROR(+VLOOKUP(C529,Master!B:C,2,0),"")</f>
        <v/>
      </c>
      <c r="F529" s="23">
        <f>LOOKUP(2,1/((Purchase!$D$1:$D$500=C529)*(Purchase!$A$1:$A$500&lt;=A529)),Purchase!$G$1:$G$500)</f>
        <v/>
      </c>
      <c r="G529" s="23">
        <f>+D529*F529</f>
        <v/>
      </c>
    </row>
    <row r="530">
      <c r="A530" s="8" t="n"/>
      <c r="B530" s="8" t="n"/>
      <c r="C530" s="21" t="n"/>
      <c r="D530" s="22" t="n"/>
      <c r="E530" s="22">
        <f>IFERROR(+VLOOKUP(C530,Master!B:C,2,0),"")</f>
        <v/>
      </c>
      <c r="F530" s="23">
        <f>LOOKUP(2,1/((Purchase!$D$1:$D$500=C530)*(Purchase!$A$1:$A$500&lt;=A530)),Purchase!$G$1:$G$500)</f>
        <v/>
      </c>
      <c r="G530" s="23">
        <f>+D530*F530</f>
        <v/>
      </c>
    </row>
    <row r="531">
      <c r="A531" s="8" t="n"/>
      <c r="B531" s="8" t="n"/>
      <c r="C531" s="21" t="n"/>
      <c r="D531" s="22" t="n"/>
      <c r="E531" s="22">
        <f>IFERROR(+VLOOKUP(C531,Master!B:C,2,0),"")</f>
        <v/>
      </c>
      <c r="F531" s="23">
        <f>LOOKUP(2,1/((Purchase!$D$1:$D$500=C531)*(Purchase!$A$1:$A$500&lt;=A531)),Purchase!$G$1:$G$500)</f>
        <v/>
      </c>
      <c r="G531" s="23">
        <f>+D531*F531</f>
        <v/>
      </c>
    </row>
    <row r="532">
      <c r="A532" s="8" t="n"/>
      <c r="B532" s="8" t="n"/>
      <c r="C532" s="21" t="n"/>
      <c r="D532" s="22" t="n"/>
      <c r="E532" s="22">
        <f>IFERROR(+VLOOKUP(C532,Master!B:C,2,0),"")</f>
        <v/>
      </c>
      <c r="F532" s="23">
        <f>LOOKUP(2,1/((Purchase!$D$1:$D$500=C532)*(Purchase!$A$1:$A$500&lt;=A532)),Purchase!$G$1:$G$500)</f>
        <v/>
      </c>
      <c r="G532" s="23">
        <f>+D532*F532</f>
        <v/>
      </c>
    </row>
    <row r="533">
      <c r="A533" s="8" t="n"/>
      <c r="B533" s="8" t="n"/>
      <c r="C533" s="21" t="n"/>
      <c r="D533" s="22" t="n"/>
      <c r="E533" s="22">
        <f>IFERROR(+VLOOKUP(C533,Master!B:C,2,0),"")</f>
        <v/>
      </c>
      <c r="F533" s="23">
        <f>LOOKUP(2,1/((Purchase!$D$1:$D$500=C533)*(Purchase!$A$1:$A$500&lt;=A533)),Purchase!$G$1:$G$500)</f>
        <v/>
      </c>
      <c r="G533" s="23">
        <f>+D533*F533</f>
        <v/>
      </c>
    </row>
    <row r="534">
      <c r="A534" s="8" t="n"/>
      <c r="B534" s="8" t="n"/>
      <c r="C534" s="21" t="n"/>
      <c r="D534" s="22" t="n"/>
      <c r="E534" s="22">
        <f>IFERROR(+VLOOKUP(C534,Master!B:C,2,0),"")</f>
        <v/>
      </c>
      <c r="F534" s="23">
        <f>LOOKUP(2,1/((Purchase!$D$1:$D$500=C534)*(Purchase!$A$1:$A$500&lt;=A534)),Purchase!$G$1:$G$500)</f>
        <v/>
      </c>
      <c r="G534" s="23">
        <f>+D534*F534</f>
        <v/>
      </c>
    </row>
    <row r="535">
      <c r="A535" s="8" t="n"/>
      <c r="B535" s="8" t="n"/>
      <c r="C535" s="21" t="n"/>
      <c r="D535" s="22" t="n"/>
      <c r="E535" s="22">
        <f>IFERROR(+VLOOKUP(C535,Master!B:C,2,0),"")</f>
        <v/>
      </c>
      <c r="F535" s="23">
        <f>LOOKUP(2,1/((Purchase!$D$1:$D$500=C535)*(Purchase!$A$1:$A$500&lt;=A535)),Purchase!$G$1:$G$500)</f>
        <v/>
      </c>
      <c r="G535" s="23">
        <f>+D535*F535</f>
        <v/>
      </c>
    </row>
    <row r="536">
      <c r="A536" s="8" t="n"/>
      <c r="B536" s="8" t="n"/>
      <c r="C536" s="21" t="n"/>
      <c r="D536" s="22" t="n"/>
      <c r="E536" s="22">
        <f>IFERROR(+VLOOKUP(C536,Master!B:C,2,0),"")</f>
        <v/>
      </c>
      <c r="F536" s="23">
        <f>LOOKUP(2,1/((Purchase!$D$1:$D$500=C536)*(Purchase!$A$1:$A$500&lt;=A536)),Purchase!$G$1:$G$500)</f>
        <v/>
      </c>
      <c r="G536" s="23">
        <f>+D536*F536</f>
        <v/>
      </c>
    </row>
    <row r="537">
      <c r="A537" s="8" t="n"/>
      <c r="B537" s="8" t="n"/>
      <c r="C537" s="21" t="n"/>
      <c r="D537" s="22" t="n"/>
      <c r="E537" s="22">
        <f>IFERROR(+VLOOKUP(C537,Master!B:C,2,0),"")</f>
        <v/>
      </c>
      <c r="F537" s="23">
        <f>LOOKUP(2,1/((Purchase!$D$1:$D$500=C537)*(Purchase!$A$1:$A$500&lt;=A537)),Purchase!$G$1:$G$500)</f>
        <v/>
      </c>
      <c r="G537" s="23">
        <f>+D537*F537</f>
        <v/>
      </c>
    </row>
    <row r="538">
      <c r="A538" s="8" t="n"/>
      <c r="B538" s="8" t="n"/>
      <c r="C538" s="21" t="n"/>
      <c r="D538" s="22" t="n"/>
      <c r="E538" s="22">
        <f>IFERROR(+VLOOKUP(C538,Master!B:C,2,0),"")</f>
        <v/>
      </c>
      <c r="F538" s="23">
        <f>LOOKUP(2,1/((Purchase!$D$1:$D$500=C538)*(Purchase!$A$1:$A$500&lt;=A538)),Purchase!$G$1:$G$500)</f>
        <v/>
      </c>
      <c r="G538" s="23">
        <f>+D538*F538</f>
        <v/>
      </c>
    </row>
    <row r="539">
      <c r="A539" s="8" t="n"/>
      <c r="B539" s="8" t="n"/>
      <c r="C539" s="21" t="n"/>
      <c r="D539" s="22" t="n"/>
      <c r="E539" s="22">
        <f>IFERROR(+VLOOKUP(C539,Master!B:C,2,0),"")</f>
        <v/>
      </c>
      <c r="F539" s="23">
        <f>LOOKUP(2,1/((Purchase!$D$1:$D$500=C539)*(Purchase!$A$1:$A$500&lt;=A539)),Purchase!$G$1:$G$500)</f>
        <v/>
      </c>
      <c r="G539" s="23">
        <f>+D539*F539</f>
        <v/>
      </c>
    </row>
    <row r="540">
      <c r="A540" s="8" t="n"/>
      <c r="B540" s="8" t="n"/>
      <c r="C540" s="21" t="n"/>
      <c r="D540" s="22" t="n"/>
      <c r="E540" s="22">
        <f>IFERROR(+VLOOKUP(C540,Master!B:C,2,0),"")</f>
        <v/>
      </c>
      <c r="F540" s="23">
        <f>LOOKUP(2,1/((Purchase!$D$1:$D$500=C540)*(Purchase!$A$1:$A$500&lt;=A540)),Purchase!$G$1:$G$500)</f>
        <v/>
      </c>
      <c r="G540" s="23">
        <f>+D540*F540</f>
        <v/>
      </c>
    </row>
    <row r="541">
      <c r="A541" s="8" t="n"/>
      <c r="B541" s="8" t="n"/>
      <c r="C541" s="21" t="n"/>
      <c r="D541" s="22" t="n"/>
      <c r="E541" s="22">
        <f>IFERROR(+VLOOKUP(C541,Master!B:C,2,0),"")</f>
        <v/>
      </c>
      <c r="F541" s="23">
        <f>LOOKUP(2,1/((Purchase!$D$1:$D$500=C541)*(Purchase!$A$1:$A$500&lt;=A541)),Purchase!$G$1:$G$500)</f>
        <v/>
      </c>
      <c r="G541" s="23">
        <f>+D541*F541</f>
        <v/>
      </c>
    </row>
    <row r="542">
      <c r="A542" s="8" t="n"/>
      <c r="B542" s="8" t="n"/>
      <c r="C542" s="21" t="n"/>
      <c r="D542" s="22" t="n"/>
      <c r="E542" s="22">
        <f>IFERROR(+VLOOKUP(C542,Master!B:C,2,0),"")</f>
        <v/>
      </c>
      <c r="F542" s="23">
        <f>LOOKUP(2,1/((Purchase!$D$1:$D$500=C542)*(Purchase!$A$1:$A$500&lt;=A542)),Purchase!$G$1:$G$500)</f>
        <v/>
      </c>
      <c r="G542" s="23">
        <f>+D542*F542</f>
        <v/>
      </c>
    </row>
    <row r="543">
      <c r="A543" s="8" t="n"/>
      <c r="B543" s="8" t="n"/>
      <c r="C543" s="21" t="n"/>
      <c r="D543" s="22" t="n"/>
      <c r="E543" s="22">
        <f>IFERROR(+VLOOKUP(C543,Master!B:C,2,0),"")</f>
        <v/>
      </c>
      <c r="F543" s="23">
        <f>LOOKUP(2,1/((Purchase!$D$1:$D$500=C543)*(Purchase!$A$1:$A$500&lt;=A543)),Purchase!$G$1:$G$500)</f>
        <v/>
      </c>
      <c r="G543" s="23">
        <f>+D543*F543</f>
        <v/>
      </c>
    </row>
    <row r="544">
      <c r="A544" s="8" t="n"/>
      <c r="B544" s="8" t="n"/>
      <c r="C544" s="21" t="n"/>
      <c r="D544" s="22" t="n"/>
      <c r="E544" s="22">
        <f>IFERROR(+VLOOKUP(C544,Master!B:C,2,0),"")</f>
        <v/>
      </c>
      <c r="F544" s="23">
        <f>LOOKUP(2,1/((Purchase!$D$1:$D$500=C544)*(Purchase!$A$1:$A$500&lt;=A544)),Purchase!$G$1:$G$500)</f>
        <v/>
      </c>
      <c r="G544" s="23">
        <f>+D544*F544</f>
        <v/>
      </c>
    </row>
    <row r="545">
      <c r="A545" s="8" t="n"/>
      <c r="B545" s="8" t="n"/>
      <c r="C545" s="21" t="n"/>
      <c r="D545" s="22" t="n"/>
      <c r="E545" s="22">
        <f>IFERROR(+VLOOKUP(C545,Master!B:C,2,0),"")</f>
        <v/>
      </c>
      <c r="F545" s="23">
        <f>LOOKUP(2,1/((Purchase!$D$1:$D$500=C545)*(Purchase!$A$1:$A$500&lt;=A545)),Purchase!$G$1:$G$500)</f>
        <v/>
      </c>
      <c r="G545" s="23">
        <f>+D545*F545</f>
        <v/>
      </c>
    </row>
    <row r="546">
      <c r="A546" s="8" t="n"/>
      <c r="B546" s="8" t="n"/>
      <c r="C546" s="21" t="n"/>
      <c r="D546" s="22" t="n"/>
      <c r="E546" s="22">
        <f>IFERROR(+VLOOKUP(C546,Master!B:C,2,0),"")</f>
        <v/>
      </c>
      <c r="F546" s="23">
        <f>LOOKUP(2,1/((Purchase!$D$1:$D$500=C546)*(Purchase!$A$1:$A$500&lt;=A546)),Purchase!$G$1:$G$500)</f>
        <v/>
      </c>
      <c r="G546" s="23">
        <f>+D546*F546</f>
        <v/>
      </c>
    </row>
    <row r="547">
      <c r="A547" s="8" t="n"/>
      <c r="B547" s="8" t="n"/>
      <c r="C547" s="21" t="n"/>
      <c r="D547" s="22" t="n"/>
      <c r="E547" s="22">
        <f>IFERROR(+VLOOKUP(C547,Master!B:C,2,0),"")</f>
        <v/>
      </c>
      <c r="F547" s="23">
        <f>LOOKUP(2,1/((Purchase!$D$1:$D$500=C547)*(Purchase!$A$1:$A$500&lt;=A547)),Purchase!$G$1:$G$500)</f>
        <v/>
      </c>
      <c r="G547" s="23">
        <f>+D547*F547</f>
        <v/>
      </c>
    </row>
    <row r="548">
      <c r="A548" s="8" t="n"/>
      <c r="B548" s="8" t="n"/>
      <c r="C548" s="21" t="n"/>
      <c r="D548" s="22" t="n"/>
      <c r="E548" s="22">
        <f>IFERROR(+VLOOKUP(C548,Master!B:C,2,0),"")</f>
        <v/>
      </c>
      <c r="F548" s="23">
        <f>LOOKUP(2,1/((Purchase!$D$1:$D$500=C548)*(Purchase!$A$1:$A$500&lt;=A548)),Purchase!$G$1:$G$500)</f>
        <v/>
      </c>
      <c r="G548" s="23">
        <f>+D548*F548</f>
        <v/>
      </c>
    </row>
    <row r="549">
      <c r="A549" s="8" t="n"/>
      <c r="B549" s="8" t="n"/>
      <c r="C549" s="21" t="n"/>
      <c r="D549" s="22" t="n"/>
      <c r="E549" s="22">
        <f>IFERROR(+VLOOKUP(C549,Master!B:C,2,0),"")</f>
        <v/>
      </c>
      <c r="F549" s="23">
        <f>LOOKUP(2,1/((Purchase!$D$1:$D$500=C549)*(Purchase!$A$1:$A$500&lt;=A549)),Purchase!$G$1:$G$500)</f>
        <v/>
      </c>
      <c r="G549" s="23">
        <f>+D549*F549</f>
        <v/>
      </c>
    </row>
    <row r="550">
      <c r="A550" s="8" t="n"/>
      <c r="B550" s="8" t="n"/>
      <c r="C550" s="21" t="n"/>
      <c r="D550" s="22" t="n"/>
      <c r="E550" s="22">
        <f>IFERROR(+VLOOKUP(C550,Master!B:C,2,0),"")</f>
        <v/>
      </c>
      <c r="F550" s="23">
        <f>LOOKUP(2,1/((Purchase!$D$1:$D$500=C550)*(Purchase!$A$1:$A$500&lt;=A550)),Purchase!$G$1:$G$500)</f>
        <v/>
      </c>
      <c r="G550" s="23">
        <f>+D550*F550</f>
        <v/>
      </c>
    </row>
    <row r="551">
      <c r="A551" s="8" t="n"/>
      <c r="B551" s="8" t="n"/>
      <c r="C551" s="21" t="n"/>
      <c r="D551" s="22" t="n"/>
      <c r="E551" s="22">
        <f>IFERROR(+VLOOKUP(C551,Master!B:C,2,0),"")</f>
        <v/>
      </c>
      <c r="F551" s="23">
        <f>LOOKUP(2,1/((Purchase!$D$1:$D$500=C551)*(Purchase!$A$1:$A$500&lt;=A551)),Purchase!$G$1:$G$500)</f>
        <v/>
      </c>
      <c r="G551" s="23">
        <f>+D551*F551</f>
        <v/>
      </c>
    </row>
    <row r="552">
      <c r="A552" s="8" t="n"/>
      <c r="B552" s="8" t="n"/>
      <c r="C552" s="21" t="n"/>
      <c r="D552" s="22" t="n"/>
      <c r="E552" s="22">
        <f>IFERROR(+VLOOKUP(C552,Master!B:C,2,0),"")</f>
        <v/>
      </c>
      <c r="F552" s="23">
        <f>LOOKUP(2,1/((Purchase!$D$1:$D$500=C552)*(Purchase!$A$1:$A$500&lt;=A552)),Purchase!$G$1:$G$500)</f>
        <v/>
      </c>
      <c r="G552" s="23">
        <f>+D552*F552</f>
        <v/>
      </c>
    </row>
    <row r="553">
      <c r="A553" s="8" t="n"/>
      <c r="B553" s="8" t="n"/>
      <c r="C553" s="21" t="n"/>
      <c r="D553" s="22" t="n"/>
      <c r="E553" s="22">
        <f>IFERROR(+VLOOKUP(C553,Master!B:C,2,0),"")</f>
        <v/>
      </c>
      <c r="F553" s="23">
        <f>LOOKUP(2,1/((Purchase!$D$1:$D$500=C553)*(Purchase!$A$1:$A$500&lt;=A553)),Purchase!$G$1:$G$500)</f>
        <v/>
      </c>
      <c r="G553" s="23">
        <f>+D553*F553</f>
        <v/>
      </c>
    </row>
    <row r="554">
      <c r="A554" s="8" t="n"/>
      <c r="B554" s="8" t="n"/>
      <c r="C554" s="21" t="n"/>
      <c r="D554" s="22" t="n"/>
      <c r="E554" s="22">
        <f>IFERROR(+VLOOKUP(C554,Master!B:C,2,0),"")</f>
        <v/>
      </c>
      <c r="F554" s="23">
        <f>LOOKUP(2,1/((Purchase!$D$1:$D$500=C554)*(Purchase!$A$1:$A$500&lt;=A554)),Purchase!$G$1:$G$500)</f>
        <v/>
      </c>
      <c r="G554" s="23">
        <f>+D554*F554</f>
        <v/>
      </c>
    </row>
    <row r="555">
      <c r="A555" s="8" t="n"/>
      <c r="B555" s="8" t="n"/>
      <c r="C555" s="21" t="n"/>
      <c r="D555" s="22" t="n"/>
      <c r="E555" s="22">
        <f>IFERROR(+VLOOKUP(C555,Master!B:C,2,0),"")</f>
        <v/>
      </c>
      <c r="F555" s="23">
        <f>LOOKUP(2,1/((Purchase!$D$1:$D$500=C555)*(Purchase!$A$1:$A$500&lt;=A555)),Purchase!$G$1:$G$500)</f>
        <v/>
      </c>
      <c r="G555" s="23">
        <f>+D555*F555</f>
        <v/>
      </c>
    </row>
    <row r="556">
      <c r="A556" s="8" t="n"/>
      <c r="B556" s="8" t="n"/>
      <c r="C556" s="21" t="n"/>
      <c r="D556" s="22" t="n"/>
      <c r="E556" s="22">
        <f>IFERROR(+VLOOKUP(C556,Master!B:C,2,0),"")</f>
        <v/>
      </c>
      <c r="F556" s="23">
        <f>LOOKUP(2,1/((Purchase!$D$1:$D$500=C556)*(Purchase!$A$1:$A$500&lt;=A556)),Purchase!$G$1:$G$500)</f>
        <v/>
      </c>
      <c r="G556" s="23">
        <f>+D556*F556</f>
        <v/>
      </c>
    </row>
    <row r="557">
      <c r="A557" s="8" t="n"/>
      <c r="B557" s="8" t="n"/>
      <c r="C557" s="21" t="n"/>
      <c r="D557" s="22" t="n"/>
      <c r="E557" s="22">
        <f>IFERROR(+VLOOKUP(C557,Master!B:C,2,0),"")</f>
        <v/>
      </c>
      <c r="F557" s="23">
        <f>LOOKUP(2,1/((Purchase!$D$1:$D$500=C557)*(Purchase!$A$1:$A$500&lt;=A557)),Purchase!$G$1:$G$500)</f>
        <v/>
      </c>
      <c r="G557" s="23">
        <f>+D557*F557</f>
        <v/>
      </c>
    </row>
    <row r="558">
      <c r="A558" s="8" t="n"/>
      <c r="B558" s="8" t="n"/>
      <c r="C558" s="21" t="n"/>
      <c r="D558" s="22" t="n"/>
      <c r="E558" s="22">
        <f>IFERROR(+VLOOKUP(C558,Master!B:C,2,0),"")</f>
        <v/>
      </c>
      <c r="F558" s="23">
        <f>LOOKUP(2,1/((Purchase!$D$1:$D$500=C558)*(Purchase!$A$1:$A$500&lt;=A558)),Purchase!$G$1:$G$500)</f>
        <v/>
      </c>
      <c r="G558" s="23">
        <f>+D558*F558</f>
        <v/>
      </c>
    </row>
    <row r="559">
      <c r="A559" s="8" t="n"/>
      <c r="B559" s="8" t="n"/>
      <c r="C559" s="21" t="n"/>
      <c r="D559" s="22" t="n"/>
      <c r="E559" s="22">
        <f>IFERROR(+VLOOKUP(C559,Master!B:C,2,0),"")</f>
        <v/>
      </c>
      <c r="F559" s="23">
        <f>LOOKUP(2,1/((Purchase!$D$1:$D$500=C559)*(Purchase!$A$1:$A$500&lt;=A559)),Purchase!$G$1:$G$500)</f>
        <v/>
      </c>
      <c r="G559" s="23">
        <f>+D559*F559</f>
        <v/>
      </c>
    </row>
    <row r="560">
      <c r="A560" s="8" t="n"/>
      <c r="B560" s="8" t="n"/>
      <c r="C560" s="21" t="n"/>
      <c r="D560" s="22" t="n"/>
      <c r="E560" s="22">
        <f>IFERROR(+VLOOKUP(C560,Master!B:C,2,0),"")</f>
        <v/>
      </c>
      <c r="F560" s="23">
        <f>LOOKUP(2,1/((Purchase!$D$1:$D$500=C560)*(Purchase!$A$1:$A$500&lt;=A560)),Purchase!$G$1:$G$500)</f>
        <v/>
      </c>
      <c r="G560" s="23">
        <f>+D560*F560</f>
        <v/>
      </c>
    </row>
    <row r="561">
      <c r="A561" s="8" t="n"/>
      <c r="B561" s="8" t="n"/>
      <c r="C561" s="21" t="n"/>
      <c r="D561" s="22" t="n"/>
      <c r="E561" s="22">
        <f>IFERROR(+VLOOKUP(C561,Master!B:C,2,0),"")</f>
        <v/>
      </c>
      <c r="F561" s="23">
        <f>LOOKUP(2,1/((Purchase!$D$1:$D$500=C561)*(Purchase!$A$1:$A$500&lt;=A561)),Purchase!$G$1:$G$500)</f>
        <v/>
      </c>
      <c r="G561" s="23">
        <f>+D561*F561</f>
        <v/>
      </c>
    </row>
    <row r="562">
      <c r="A562" s="8" t="n"/>
      <c r="B562" s="8" t="n"/>
      <c r="C562" s="21" t="n"/>
      <c r="D562" s="22" t="n"/>
      <c r="E562" s="22">
        <f>IFERROR(+VLOOKUP(C562,Master!B:C,2,0),"")</f>
        <v/>
      </c>
      <c r="F562" s="23">
        <f>LOOKUP(2,1/((Purchase!$D$1:$D$500=C562)*(Purchase!$A$1:$A$500&lt;=A562)),Purchase!$G$1:$G$500)</f>
        <v/>
      </c>
      <c r="G562" s="23">
        <f>+D562*F562</f>
        <v/>
      </c>
    </row>
    <row r="563">
      <c r="A563" s="8" t="n"/>
      <c r="B563" s="8" t="n"/>
      <c r="C563" s="21" t="n"/>
      <c r="D563" s="22" t="n"/>
      <c r="E563" s="22">
        <f>IFERROR(+VLOOKUP(C563,Master!B:C,2,0),"")</f>
        <v/>
      </c>
      <c r="F563" s="23">
        <f>LOOKUP(2,1/((Purchase!$D$1:$D$500=C563)*(Purchase!$A$1:$A$500&lt;=A563)),Purchase!$G$1:$G$500)</f>
        <v/>
      </c>
      <c r="G563" s="23">
        <f>+D563*F563</f>
        <v/>
      </c>
    </row>
    <row r="564">
      <c r="A564" s="8" t="n"/>
      <c r="B564" s="8" t="n"/>
      <c r="C564" s="21" t="n"/>
      <c r="D564" s="22" t="n"/>
      <c r="E564" s="22">
        <f>IFERROR(+VLOOKUP(C564,Master!B:C,2,0),"")</f>
        <v/>
      </c>
      <c r="F564" s="23">
        <f>LOOKUP(2,1/((Purchase!$D$1:$D$500=C564)*(Purchase!$A$1:$A$500&lt;=A564)),Purchase!$G$1:$G$500)</f>
        <v/>
      </c>
      <c r="G564" s="23">
        <f>+D564*F564</f>
        <v/>
      </c>
    </row>
    <row r="565">
      <c r="A565" s="8" t="n"/>
      <c r="B565" s="8" t="n"/>
      <c r="C565" s="21" t="n"/>
      <c r="D565" s="22" t="n"/>
      <c r="E565" s="22">
        <f>IFERROR(+VLOOKUP(C565,Master!B:C,2,0),"")</f>
        <v/>
      </c>
      <c r="F565" s="23">
        <f>LOOKUP(2,1/((Purchase!$D$1:$D$500=C565)*(Purchase!$A$1:$A$500&lt;=A565)),Purchase!$G$1:$G$500)</f>
        <v/>
      </c>
      <c r="G565" s="23">
        <f>+D565*F565</f>
        <v/>
      </c>
    </row>
    <row r="566">
      <c r="A566" s="8" t="n"/>
      <c r="B566" s="8" t="n"/>
      <c r="C566" s="21" t="n"/>
      <c r="D566" s="22" t="n"/>
      <c r="E566" s="22">
        <f>IFERROR(+VLOOKUP(C566,Master!B:C,2,0),"")</f>
        <v/>
      </c>
      <c r="F566" s="23">
        <f>LOOKUP(2,1/((Purchase!$D$1:$D$500=C566)*(Purchase!$A$1:$A$500&lt;=A566)),Purchase!$G$1:$G$500)</f>
        <v/>
      </c>
      <c r="G566" s="23">
        <f>+D566*F566</f>
        <v/>
      </c>
    </row>
    <row r="567">
      <c r="A567" s="8" t="n"/>
      <c r="B567" s="8" t="n"/>
      <c r="C567" s="21" t="n"/>
      <c r="D567" s="22" t="n"/>
      <c r="E567" s="22">
        <f>IFERROR(+VLOOKUP(C567,Master!B:C,2,0),"")</f>
        <v/>
      </c>
      <c r="F567" s="23">
        <f>LOOKUP(2,1/((Purchase!$D$1:$D$500=C567)*(Purchase!$A$1:$A$500&lt;=A567)),Purchase!$G$1:$G$500)</f>
        <v/>
      </c>
      <c r="G567" s="23">
        <f>+D567*F567</f>
        <v/>
      </c>
    </row>
    <row r="568">
      <c r="A568" s="8" t="n"/>
      <c r="B568" s="8" t="n"/>
      <c r="C568" s="21" t="n"/>
      <c r="D568" s="22" t="n"/>
      <c r="E568" s="22">
        <f>IFERROR(+VLOOKUP(C568,Master!B:C,2,0),"")</f>
        <v/>
      </c>
      <c r="F568" s="23">
        <f>LOOKUP(2,1/((Purchase!$D$1:$D$500=C568)*(Purchase!$A$1:$A$500&lt;=A568)),Purchase!$G$1:$G$500)</f>
        <v/>
      </c>
      <c r="G568" s="23">
        <f>+D568*F568</f>
        <v/>
      </c>
    </row>
    <row r="569">
      <c r="A569" s="8" t="n"/>
      <c r="B569" s="8" t="n"/>
      <c r="C569" s="21" t="n"/>
      <c r="D569" s="22" t="n"/>
      <c r="E569" s="22">
        <f>IFERROR(+VLOOKUP(C569,Master!B:C,2,0),"")</f>
        <v/>
      </c>
      <c r="F569" s="23">
        <f>LOOKUP(2,1/((Purchase!$D$1:$D$500=C569)*(Purchase!$A$1:$A$500&lt;=A569)),Purchase!$G$1:$G$500)</f>
        <v/>
      </c>
      <c r="G569" s="23">
        <f>+D569*F569</f>
        <v/>
      </c>
    </row>
    <row r="570">
      <c r="A570" s="8" t="n"/>
      <c r="B570" s="8" t="n"/>
      <c r="C570" s="21" t="n"/>
      <c r="D570" s="22" t="n"/>
      <c r="E570" s="22">
        <f>IFERROR(+VLOOKUP(C570,Master!B:C,2,0),"")</f>
        <v/>
      </c>
      <c r="F570" s="23">
        <f>LOOKUP(2,1/((Purchase!$D$1:$D$500=C570)*(Purchase!$A$1:$A$500&lt;=A570)),Purchase!$G$1:$G$500)</f>
        <v/>
      </c>
      <c r="G570" s="23">
        <f>+D570*F570</f>
        <v/>
      </c>
    </row>
    <row r="571">
      <c r="A571" s="8" t="n"/>
      <c r="B571" s="8" t="n"/>
      <c r="C571" s="21" t="n"/>
      <c r="D571" s="22" t="n"/>
      <c r="E571" s="22">
        <f>IFERROR(+VLOOKUP(C571,Master!B:C,2,0),"")</f>
        <v/>
      </c>
      <c r="F571" s="23">
        <f>LOOKUP(2,1/((Purchase!$D$1:$D$500=C571)*(Purchase!$A$1:$A$500&lt;=A571)),Purchase!$G$1:$G$500)</f>
        <v/>
      </c>
      <c r="G571" s="23">
        <f>+D571*F571</f>
        <v/>
      </c>
    </row>
    <row r="572">
      <c r="A572" s="8" t="n"/>
      <c r="B572" s="8" t="n"/>
      <c r="C572" s="21" t="n"/>
      <c r="D572" s="22" t="n"/>
      <c r="E572" s="22">
        <f>IFERROR(+VLOOKUP(C572,Master!B:C,2,0),"")</f>
        <v/>
      </c>
      <c r="F572" s="23">
        <f>LOOKUP(2,1/((Purchase!$D$1:$D$500=C572)*(Purchase!$A$1:$A$500&lt;=A572)),Purchase!$G$1:$G$500)</f>
        <v/>
      </c>
      <c r="G572" s="23">
        <f>+D572*F572</f>
        <v/>
      </c>
    </row>
    <row r="573">
      <c r="A573" s="8" t="n"/>
      <c r="B573" s="8" t="n"/>
      <c r="C573" s="21" t="n"/>
      <c r="D573" s="22" t="n"/>
      <c r="E573" s="22">
        <f>IFERROR(+VLOOKUP(C573,Master!B:C,2,0),"")</f>
        <v/>
      </c>
      <c r="F573" s="23">
        <f>LOOKUP(2,1/((Purchase!$D$1:$D$500=C573)*(Purchase!$A$1:$A$500&lt;=A573)),Purchase!$G$1:$G$500)</f>
        <v/>
      </c>
      <c r="G573" s="23">
        <f>+D573*F573</f>
        <v/>
      </c>
    </row>
    <row r="574">
      <c r="A574" s="8" t="n"/>
      <c r="B574" s="8" t="n"/>
      <c r="C574" s="21" t="n"/>
      <c r="D574" s="22" t="n"/>
      <c r="E574" s="22">
        <f>IFERROR(+VLOOKUP(C574,Master!B:C,2,0),"")</f>
        <v/>
      </c>
      <c r="F574" s="23">
        <f>LOOKUP(2,1/((Purchase!$D$1:$D$500=C574)*(Purchase!$A$1:$A$500&lt;=A574)),Purchase!$G$1:$G$500)</f>
        <v/>
      </c>
      <c r="G574" s="23">
        <f>+D574*F574</f>
        <v/>
      </c>
    </row>
    <row r="575">
      <c r="A575" s="8" t="n"/>
      <c r="B575" s="8" t="n"/>
      <c r="C575" s="21" t="n"/>
      <c r="D575" s="22" t="n"/>
      <c r="E575" s="22">
        <f>IFERROR(+VLOOKUP(C575,Master!B:C,2,0),"")</f>
        <v/>
      </c>
      <c r="F575" s="23">
        <f>LOOKUP(2,1/((Purchase!$D$1:$D$500=C575)*(Purchase!$A$1:$A$500&lt;=A575)),Purchase!$G$1:$G$500)</f>
        <v/>
      </c>
      <c r="G575" s="23">
        <f>+D575*F575</f>
        <v/>
      </c>
    </row>
    <row r="576">
      <c r="A576" s="8" t="n"/>
      <c r="B576" s="8" t="n"/>
      <c r="C576" s="21" t="n"/>
      <c r="D576" s="22" t="n"/>
      <c r="E576" s="22">
        <f>IFERROR(+VLOOKUP(C576,Master!B:C,2,0),"")</f>
        <v/>
      </c>
      <c r="F576" s="23">
        <f>LOOKUP(2,1/((Purchase!$D$1:$D$500=C576)*(Purchase!$A$1:$A$500&lt;=A576)),Purchase!$G$1:$G$500)</f>
        <v/>
      </c>
      <c r="G576" s="23">
        <f>+D576*F576</f>
        <v/>
      </c>
    </row>
    <row r="577">
      <c r="A577" s="8" t="n"/>
      <c r="B577" s="8" t="n"/>
      <c r="C577" s="21" t="n"/>
      <c r="D577" s="22" t="n"/>
      <c r="E577" s="22">
        <f>IFERROR(+VLOOKUP(C577,Master!B:C,2,0),"")</f>
        <v/>
      </c>
      <c r="F577" s="23">
        <f>LOOKUP(2,1/((Purchase!$D$1:$D$500=C577)*(Purchase!$A$1:$A$500&lt;=A577)),Purchase!$G$1:$G$500)</f>
        <v/>
      </c>
      <c r="G577" s="23">
        <f>+D577*F577</f>
        <v/>
      </c>
    </row>
    <row r="578">
      <c r="A578" s="8" t="n"/>
      <c r="B578" s="8" t="n"/>
      <c r="C578" s="21" t="n"/>
      <c r="D578" s="22" t="n"/>
      <c r="E578" s="22">
        <f>IFERROR(+VLOOKUP(C578,Master!B:C,2,0),"")</f>
        <v/>
      </c>
      <c r="F578" s="23">
        <f>LOOKUP(2,1/((Purchase!$D$1:$D$500=C578)*(Purchase!$A$1:$A$500&lt;=A578)),Purchase!$G$1:$G$500)</f>
        <v/>
      </c>
      <c r="G578" s="23">
        <f>+D578*F578</f>
        <v/>
      </c>
    </row>
    <row r="579">
      <c r="A579" s="8" t="n"/>
      <c r="B579" s="8" t="n"/>
      <c r="C579" s="21" t="n"/>
      <c r="D579" s="22" t="n"/>
      <c r="E579" s="22">
        <f>IFERROR(+VLOOKUP(C579,Master!B:C,2,0),"")</f>
        <v/>
      </c>
      <c r="F579" s="23">
        <f>LOOKUP(2,1/((Purchase!$D$1:$D$500=C579)*(Purchase!$A$1:$A$500&lt;=A579)),Purchase!$G$1:$G$500)</f>
        <v/>
      </c>
      <c r="G579" s="23">
        <f>+D579*F579</f>
        <v/>
      </c>
    </row>
    <row r="580">
      <c r="A580" s="8" t="n"/>
      <c r="B580" s="8" t="n"/>
      <c r="C580" s="21" t="n"/>
      <c r="D580" s="22" t="n"/>
      <c r="E580" s="22">
        <f>IFERROR(+VLOOKUP(C580,Master!B:C,2,0),"")</f>
        <v/>
      </c>
      <c r="F580" s="23">
        <f>LOOKUP(2,1/((Purchase!$D$1:$D$500=C580)*(Purchase!$A$1:$A$500&lt;=A580)),Purchase!$G$1:$G$500)</f>
        <v/>
      </c>
      <c r="G580" s="23">
        <f>+D580*F580</f>
        <v/>
      </c>
    </row>
    <row r="581">
      <c r="A581" s="8" t="n"/>
      <c r="B581" s="8" t="n"/>
      <c r="C581" s="21" t="n"/>
      <c r="D581" s="22" t="n"/>
      <c r="E581" s="22">
        <f>IFERROR(+VLOOKUP(C581,Master!B:C,2,0),"")</f>
        <v/>
      </c>
      <c r="F581" s="23">
        <f>LOOKUP(2,1/((Purchase!$D$1:$D$500=C581)*(Purchase!$A$1:$A$500&lt;=A581)),Purchase!$G$1:$G$500)</f>
        <v/>
      </c>
      <c r="G581" s="23">
        <f>+D581*F581</f>
        <v/>
      </c>
    </row>
    <row r="582">
      <c r="A582" s="8" t="n"/>
      <c r="B582" s="8" t="n"/>
      <c r="C582" s="21" t="n"/>
      <c r="D582" s="22" t="n"/>
      <c r="E582" s="22">
        <f>IFERROR(+VLOOKUP(C582,Master!B:C,2,0),"")</f>
        <v/>
      </c>
      <c r="F582" s="23">
        <f>LOOKUP(2,1/((Purchase!$D$1:$D$500=C582)*(Purchase!$A$1:$A$500&lt;=A582)),Purchase!$G$1:$G$500)</f>
        <v/>
      </c>
      <c r="G582" s="23">
        <f>+D582*F582</f>
        <v/>
      </c>
    </row>
    <row r="583">
      <c r="A583" s="8" t="n"/>
      <c r="B583" s="8" t="n"/>
      <c r="C583" s="21" t="n"/>
      <c r="D583" s="22" t="n"/>
      <c r="E583" s="22">
        <f>IFERROR(+VLOOKUP(C583,Master!B:C,2,0),"")</f>
        <v/>
      </c>
      <c r="F583" s="23">
        <f>LOOKUP(2,1/((Purchase!$D$1:$D$500=C583)*(Purchase!$A$1:$A$500&lt;=A583)),Purchase!$G$1:$G$500)</f>
        <v/>
      </c>
      <c r="G583" s="23">
        <f>+D583*F583</f>
        <v/>
      </c>
    </row>
    <row r="584">
      <c r="A584" s="8" t="n"/>
      <c r="B584" s="8" t="n"/>
      <c r="C584" s="21" t="n"/>
      <c r="D584" s="22" t="n"/>
      <c r="E584" s="22">
        <f>IFERROR(+VLOOKUP(C584,Master!B:C,2,0),"")</f>
        <v/>
      </c>
      <c r="F584" s="23">
        <f>LOOKUP(2,1/((Purchase!$D$1:$D$500=C584)*(Purchase!$A$1:$A$500&lt;=A584)),Purchase!$G$1:$G$500)</f>
        <v/>
      </c>
      <c r="G584" s="23">
        <f>+D584*F584</f>
        <v/>
      </c>
    </row>
    <row r="585">
      <c r="A585" s="8" t="n"/>
      <c r="B585" s="8" t="n"/>
      <c r="C585" s="21" t="n"/>
      <c r="D585" s="22" t="n"/>
      <c r="E585" s="22">
        <f>IFERROR(+VLOOKUP(C585,Master!B:C,2,0),"")</f>
        <v/>
      </c>
      <c r="F585" s="23">
        <f>LOOKUP(2,1/((Purchase!$D$1:$D$500=C585)*(Purchase!$A$1:$A$500&lt;=A585)),Purchase!$G$1:$G$500)</f>
        <v/>
      </c>
      <c r="G585" s="23">
        <f>+D585*F585</f>
        <v/>
      </c>
    </row>
    <row r="586">
      <c r="A586" s="8" t="n"/>
      <c r="B586" s="8" t="n"/>
      <c r="C586" s="21" t="n"/>
      <c r="D586" s="22" t="n"/>
      <c r="E586" s="22">
        <f>IFERROR(+VLOOKUP(C586,Master!B:C,2,0),"")</f>
        <v/>
      </c>
      <c r="F586" s="23">
        <f>LOOKUP(2,1/((Purchase!$D$1:$D$500=C586)*(Purchase!$A$1:$A$500&lt;=A586)),Purchase!$G$1:$G$500)</f>
        <v/>
      </c>
      <c r="G586" s="23">
        <f>+D586*F586</f>
        <v/>
      </c>
    </row>
    <row r="587">
      <c r="A587" s="8" t="n"/>
      <c r="B587" s="8" t="n"/>
      <c r="C587" s="21" t="n"/>
      <c r="D587" s="22" t="n"/>
      <c r="E587" s="22">
        <f>IFERROR(+VLOOKUP(C587,Master!B:C,2,0),"")</f>
        <v/>
      </c>
      <c r="F587" s="23">
        <f>LOOKUP(2,1/((Purchase!$D$1:$D$500=C587)*(Purchase!$A$1:$A$500&lt;=A587)),Purchase!$G$1:$G$500)</f>
        <v/>
      </c>
      <c r="G587" s="23">
        <f>+D587*F587</f>
        <v/>
      </c>
    </row>
    <row r="588">
      <c r="A588" s="8" t="n"/>
      <c r="B588" s="8" t="n"/>
      <c r="C588" s="21" t="n"/>
      <c r="D588" s="22" t="n"/>
      <c r="E588" s="22">
        <f>IFERROR(+VLOOKUP(C588,Master!B:C,2,0),"")</f>
        <v/>
      </c>
      <c r="F588" s="23">
        <f>LOOKUP(2,1/((Purchase!$D$1:$D$500=C588)*(Purchase!$A$1:$A$500&lt;=A588)),Purchase!$G$1:$G$500)</f>
        <v/>
      </c>
      <c r="G588" s="23">
        <f>+D588*F588</f>
        <v/>
      </c>
    </row>
    <row r="589">
      <c r="A589" s="8" t="n"/>
      <c r="B589" s="8" t="n"/>
      <c r="C589" s="21" t="n"/>
      <c r="D589" s="22" t="n"/>
      <c r="E589" s="22">
        <f>IFERROR(+VLOOKUP(C589,Master!B:C,2,0),"")</f>
        <v/>
      </c>
      <c r="F589" s="23">
        <f>LOOKUP(2,1/((Purchase!$D$1:$D$500=C589)*(Purchase!$A$1:$A$500&lt;=A589)),Purchase!$G$1:$G$500)</f>
        <v/>
      </c>
      <c r="G589" s="23">
        <f>+D589*F589</f>
        <v/>
      </c>
    </row>
    <row r="590">
      <c r="A590" s="8" t="n"/>
      <c r="B590" s="8" t="n"/>
      <c r="C590" s="21" t="n"/>
      <c r="D590" s="22" t="n"/>
      <c r="E590" s="22">
        <f>IFERROR(+VLOOKUP(C590,Master!B:C,2,0),"")</f>
        <v/>
      </c>
      <c r="F590" s="23">
        <f>LOOKUP(2,1/((Purchase!$D$1:$D$500=C590)*(Purchase!$A$1:$A$500&lt;=A590)),Purchase!$G$1:$G$500)</f>
        <v/>
      </c>
      <c r="G590" s="23">
        <f>+D590*F590</f>
        <v/>
      </c>
    </row>
    <row r="591">
      <c r="A591" s="8" t="n"/>
      <c r="B591" s="8" t="n"/>
      <c r="C591" s="21" t="n"/>
      <c r="D591" s="22" t="n"/>
      <c r="E591" s="22">
        <f>IFERROR(+VLOOKUP(C591,Master!B:C,2,0),"")</f>
        <v/>
      </c>
      <c r="F591" s="23">
        <f>LOOKUP(2,1/((Purchase!$D$1:$D$500=C591)*(Purchase!$A$1:$A$500&lt;=A591)),Purchase!$G$1:$G$500)</f>
        <v/>
      </c>
      <c r="G591" s="23">
        <f>+D591*F591</f>
        <v/>
      </c>
    </row>
    <row r="592">
      <c r="A592" s="8" t="n"/>
      <c r="B592" s="8" t="n"/>
      <c r="C592" s="21" t="n"/>
      <c r="D592" s="22" t="n"/>
      <c r="E592" s="22">
        <f>IFERROR(+VLOOKUP(C592,Master!B:C,2,0),"")</f>
        <v/>
      </c>
      <c r="F592" s="23">
        <f>LOOKUP(2,1/((Purchase!$D$1:$D$500=C592)*(Purchase!$A$1:$A$500&lt;=A592)),Purchase!$G$1:$G$500)</f>
        <v/>
      </c>
      <c r="G592" s="23">
        <f>+D592*F592</f>
        <v/>
      </c>
    </row>
    <row r="593">
      <c r="A593" s="8" t="n"/>
      <c r="B593" s="8" t="n"/>
      <c r="C593" s="21" t="n"/>
      <c r="D593" s="22" t="n"/>
      <c r="E593" s="22">
        <f>IFERROR(+VLOOKUP(C593,Master!B:C,2,0),"")</f>
        <v/>
      </c>
      <c r="F593" s="23">
        <f>LOOKUP(2,1/((Purchase!$D$1:$D$500=C593)*(Purchase!$A$1:$A$500&lt;=A593)),Purchase!$G$1:$G$500)</f>
        <v/>
      </c>
      <c r="G593" s="23">
        <f>+D593*F593</f>
        <v/>
      </c>
    </row>
    <row r="594">
      <c r="A594" s="8" t="n"/>
      <c r="B594" s="8" t="n"/>
      <c r="C594" s="21" t="n"/>
      <c r="D594" s="22" t="n"/>
      <c r="E594" s="22">
        <f>IFERROR(+VLOOKUP(C594,Master!B:C,2,0),"")</f>
        <v/>
      </c>
      <c r="F594" s="23">
        <f>LOOKUP(2,1/((Purchase!$D$1:$D$500=C594)*(Purchase!$A$1:$A$500&lt;=A594)),Purchase!$G$1:$G$500)</f>
        <v/>
      </c>
      <c r="G594" s="23">
        <f>+D594*F594</f>
        <v/>
      </c>
    </row>
    <row r="595">
      <c r="A595" s="8" t="n"/>
      <c r="B595" s="8" t="n"/>
      <c r="C595" s="21" t="n"/>
      <c r="D595" s="22" t="n"/>
      <c r="E595" s="22">
        <f>IFERROR(+VLOOKUP(C595,Master!B:C,2,0),"")</f>
        <v/>
      </c>
      <c r="F595" s="23">
        <f>LOOKUP(2,1/((Purchase!$D$1:$D$500=C595)*(Purchase!$A$1:$A$500&lt;=A595)),Purchase!$G$1:$G$500)</f>
        <v/>
      </c>
      <c r="G595" s="23">
        <f>+D595*F595</f>
        <v/>
      </c>
    </row>
    <row r="596">
      <c r="A596" s="8" t="n"/>
      <c r="B596" s="8" t="n"/>
      <c r="C596" s="21" t="n"/>
      <c r="D596" s="22" t="n"/>
      <c r="E596" s="22">
        <f>IFERROR(+VLOOKUP(C596,Master!B:C,2,0),"")</f>
        <v/>
      </c>
      <c r="F596" s="23">
        <f>LOOKUP(2,1/((Purchase!$D$1:$D$500=C596)*(Purchase!$A$1:$A$500&lt;=A596)),Purchase!$G$1:$G$500)</f>
        <v/>
      </c>
      <c r="G596" s="23">
        <f>+D596*F596</f>
        <v/>
      </c>
    </row>
    <row r="597">
      <c r="A597" s="8" t="n"/>
      <c r="B597" s="8" t="n"/>
      <c r="C597" s="21" t="n"/>
      <c r="D597" s="22" t="n"/>
      <c r="E597" s="22">
        <f>IFERROR(+VLOOKUP(C597,Master!B:C,2,0),"")</f>
        <v/>
      </c>
      <c r="F597" s="23">
        <f>LOOKUP(2,1/((Purchase!$D$1:$D$500=C597)*(Purchase!$A$1:$A$500&lt;=A597)),Purchase!$G$1:$G$500)</f>
        <v/>
      </c>
      <c r="G597" s="23">
        <f>+D597*F597</f>
        <v/>
      </c>
    </row>
    <row r="598">
      <c r="A598" s="8" t="n"/>
      <c r="B598" s="8" t="n"/>
      <c r="C598" s="21" t="n"/>
      <c r="D598" s="22" t="n"/>
      <c r="E598" s="22">
        <f>IFERROR(+VLOOKUP(C598,Master!B:C,2,0),"")</f>
        <v/>
      </c>
      <c r="F598" s="23">
        <f>LOOKUP(2,1/((Purchase!$D$1:$D$500=C598)*(Purchase!$A$1:$A$500&lt;=A598)),Purchase!$G$1:$G$500)</f>
        <v/>
      </c>
      <c r="G598" s="23">
        <f>+D598*F598</f>
        <v/>
      </c>
    </row>
    <row r="599">
      <c r="A599" s="8" t="n"/>
      <c r="B599" s="8" t="n"/>
      <c r="C599" s="21" t="n"/>
      <c r="D599" s="22" t="n"/>
      <c r="E599" s="22">
        <f>IFERROR(+VLOOKUP(C599,Master!B:C,2,0),"")</f>
        <v/>
      </c>
      <c r="F599" s="23">
        <f>LOOKUP(2,1/((Purchase!$D$1:$D$500=C599)*(Purchase!$A$1:$A$500&lt;=A599)),Purchase!$G$1:$G$500)</f>
        <v/>
      </c>
      <c r="G599" s="23">
        <f>+D599*F599</f>
        <v/>
      </c>
    </row>
    <row r="600">
      <c r="A600" s="8" t="n"/>
      <c r="B600" s="8" t="n"/>
      <c r="C600" s="21" t="n"/>
      <c r="D600" s="22" t="n"/>
      <c r="E600" s="22">
        <f>IFERROR(+VLOOKUP(C600,Master!B:C,2,0),"")</f>
        <v/>
      </c>
      <c r="F600" s="23">
        <f>LOOKUP(2,1/((Purchase!$D$1:$D$500=C600)*(Purchase!$A$1:$A$500&lt;=A600)),Purchase!$G$1:$G$500)</f>
        <v/>
      </c>
      <c r="G600" s="23">
        <f>+D600*F600</f>
        <v/>
      </c>
    </row>
    <row r="601">
      <c r="A601" s="8" t="n"/>
      <c r="B601" s="8" t="n"/>
      <c r="C601" s="21" t="n"/>
      <c r="D601" s="22" t="n"/>
      <c r="E601" s="22">
        <f>IFERROR(+VLOOKUP(C601,Master!B:C,2,0),"")</f>
        <v/>
      </c>
      <c r="F601" s="23">
        <f>LOOKUP(2,1/((Purchase!$D$1:$D$500=C601)*(Purchase!$A$1:$A$500&lt;=A601)),Purchase!$G$1:$G$500)</f>
        <v/>
      </c>
      <c r="G601" s="23">
        <f>+D601*F601</f>
        <v/>
      </c>
    </row>
    <row r="602">
      <c r="A602" s="8" t="n"/>
      <c r="B602" s="8" t="n"/>
      <c r="C602" s="21" t="n"/>
      <c r="D602" s="22" t="n"/>
      <c r="E602" s="22">
        <f>IFERROR(+VLOOKUP(C602,Master!B:C,2,0),"")</f>
        <v/>
      </c>
      <c r="F602" s="23">
        <f>LOOKUP(2,1/((Purchase!$D$1:$D$500=C602)*(Purchase!$A$1:$A$500&lt;=A602)),Purchase!$G$1:$G$500)</f>
        <v/>
      </c>
      <c r="G602" s="23">
        <f>+D602*F602</f>
        <v/>
      </c>
    </row>
    <row r="603">
      <c r="A603" s="8" t="n"/>
      <c r="B603" s="8" t="n"/>
      <c r="C603" s="21" t="n"/>
      <c r="D603" s="22" t="n"/>
      <c r="E603" s="22">
        <f>IFERROR(+VLOOKUP(C603,Master!B:C,2,0),"")</f>
        <v/>
      </c>
      <c r="F603" s="23">
        <f>LOOKUP(2,1/((Purchase!$D$1:$D$500=C603)*(Purchase!$A$1:$A$500&lt;=A603)),Purchase!$G$1:$G$500)</f>
        <v/>
      </c>
      <c r="G603" s="23">
        <f>+D603*F603</f>
        <v/>
      </c>
    </row>
    <row r="604">
      <c r="A604" s="8" t="n"/>
      <c r="B604" s="8" t="n"/>
      <c r="C604" s="21" t="n"/>
      <c r="D604" s="22" t="n"/>
      <c r="E604" s="22">
        <f>IFERROR(+VLOOKUP(C604,Master!B:C,2,0),"")</f>
        <v/>
      </c>
      <c r="F604" s="23">
        <f>LOOKUP(2,1/((Purchase!$D$1:$D$500=C604)*(Purchase!$A$1:$A$500&lt;=A604)),Purchase!$G$1:$G$500)</f>
        <v/>
      </c>
      <c r="G604" s="23">
        <f>+D604*F604</f>
        <v/>
      </c>
    </row>
    <row r="605">
      <c r="A605" s="8" t="n"/>
      <c r="B605" s="8" t="n"/>
      <c r="C605" s="21" t="n"/>
      <c r="D605" s="22" t="n"/>
      <c r="E605" s="22">
        <f>IFERROR(+VLOOKUP(C605,Master!B:C,2,0),"")</f>
        <v/>
      </c>
      <c r="F605" s="23">
        <f>LOOKUP(2,1/((Purchase!$D$1:$D$500=C605)*(Purchase!$A$1:$A$500&lt;=A605)),Purchase!$G$1:$G$500)</f>
        <v/>
      </c>
      <c r="G605" s="23">
        <f>+D605*F605</f>
        <v/>
      </c>
    </row>
    <row r="606">
      <c r="A606" s="8" t="n"/>
      <c r="B606" s="8" t="n"/>
      <c r="C606" s="21" t="n"/>
      <c r="D606" s="22" t="n"/>
      <c r="E606" s="22">
        <f>IFERROR(+VLOOKUP(C606,Master!B:C,2,0),"")</f>
        <v/>
      </c>
      <c r="F606" s="23">
        <f>LOOKUP(2,1/((Purchase!$D$1:$D$500=C606)*(Purchase!$A$1:$A$500&lt;=A606)),Purchase!$G$1:$G$500)</f>
        <v/>
      </c>
      <c r="G606" s="23">
        <f>+D606*F606</f>
        <v/>
      </c>
    </row>
    <row r="607">
      <c r="A607" s="8" t="n"/>
      <c r="B607" s="8" t="n"/>
      <c r="C607" s="21" t="n"/>
      <c r="D607" s="22" t="n"/>
      <c r="E607" s="22">
        <f>IFERROR(+VLOOKUP(C607,Master!B:C,2,0),"")</f>
        <v/>
      </c>
      <c r="F607" s="23">
        <f>LOOKUP(2,1/((Purchase!$D$1:$D$500=C607)*(Purchase!$A$1:$A$500&lt;=A607)),Purchase!$G$1:$G$500)</f>
        <v/>
      </c>
      <c r="G607" s="23">
        <f>+D607*F607</f>
        <v/>
      </c>
    </row>
    <row r="608">
      <c r="A608" s="8" t="n"/>
      <c r="B608" s="8" t="n"/>
      <c r="C608" s="21" t="n"/>
      <c r="D608" s="22" t="n"/>
      <c r="E608" s="22">
        <f>IFERROR(+VLOOKUP(C608,Master!B:C,2,0),"")</f>
        <v/>
      </c>
      <c r="F608" s="23">
        <f>LOOKUP(2,1/((Purchase!$D$1:$D$500=C608)*(Purchase!$A$1:$A$500&lt;=A608)),Purchase!$G$1:$G$500)</f>
        <v/>
      </c>
      <c r="G608" s="23">
        <f>+D608*F608</f>
        <v/>
      </c>
    </row>
    <row r="609">
      <c r="A609" s="8" t="n"/>
      <c r="B609" s="8" t="n"/>
      <c r="C609" s="21" t="n"/>
      <c r="D609" s="22" t="n"/>
      <c r="E609" s="22">
        <f>IFERROR(+VLOOKUP(C609,Master!B:C,2,0),"")</f>
        <v/>
      </c>
      <c r="F609" s="23">
        <f>LOOKUP(2,1/((Purchase!$D$1:$D$500=C609)*(Purchase!$A$1:$A$500&lt;=A609)),Purchase!$G$1:$G$500)</f>
        <v/>
      </c>
      <c r="G609" s="23">
        <f>+D609*F609</f>
        <v/>
      </c>
    </row>
    <row r="610">
      <c r="A610" s="8" t="n"/>
      <c r="B610" s="8" t="n"/>
      <c r="C610" s="21" t="n"/>
      <c r="D610" s="22" t="n"/>
      <c r="E610" s="22">
        <f>IFERROR(+VLOOKUP(C610,Master!B:C,2,0),"")</f>
        <v/>
      </c>
      <c r="F610" s="23">
        <f>LOOKUP(2,1/((Purchase!$D$1:$D$500=C610)*(Purchase!$A$1:$A$500&lt;=A610)),Purchase!$G$1:$G$500)</f>
        <v/>
      </c>
      <c r="G610" s="23">
        <f>+D610*F610</f>
        <v/>
      </c>
    </row>
    <row r="611">
      <c r="A611" s="8" t="n"/>
      <c r="B611" s="8" t="n"/>
      <c r="C611" s="21" t="n"/>
      <c r="D611" s="22" t="n"/>
      <c r="E611" s="22">
        <f>IFERROR(+VLOOKUP(C611,Master!B:C,2,0),"")</f>
        <v/>
      </c>
      <c r="F611" s="23">
        <f>LOOKUP(2,1/((Purchase!$D$1:$D$500=C611)*(Purchase!$A$1:$A$500&lt;=A611)),Purchase!$G$1:$G$500)</f>
        <v/>
      </c>
      <c r="G611" s="23">
        <f>+D611*F611</f>
        <v/>
      </c>
    </row>
    <row r="612">
      <c r="A612" s="8" t="n"/>
      <c r="B612" s="8" t="n"/>
      <c r="C612" s="21" t="n"/>
      <c r="D612" s="22" t="n"/>
      <c r="E612" s="22">
        <f>IFERROR(+VLOOKUP(C612,Master!B:C,2,0),"")</f>
        <v/>
      </c>
      <c r="F612" s="23">
        <f>LOOKUP(2,1/((Purchase!$D$1:$D$500=C612)*(Purchase!$A$1:$A$500&lt;=A612)),Purchase!$G$1:$G$500)</f>
        <v/>
      </c>
      <c r="G612" s="23">
        <f>+D612*F612</f>
        <v/>
      </c>
    </row>
    <row r="613">
      <c r="A613" s="8" t="n"/>
      <c r="B613" s="8" t="n"/>
      <c r="C613" s="21" t="n"/>
      <c r="D613" s="22" t="n"/>
      <c r="E613" s="22">
        <f>IFERROR(+VLOOKUP(C613,Master!B:C,2,0),"")</f>
        <v/>
      </c>
      <c r="F613" s="23">
        <f>LOOKUP(2,1/((Purchase!$D$1:$D$500=C613)*(Purchase!$A$1:$A$500&lt;=A613)),Purchase!$G$1:$G$500)</f>
        <v/>
      </c>
      <c r="G613" s="23">
        <f>+D613*F613</f>
        <v/>
      </c>
    </row>
    <row r="614">
      <c r="A614" s="8" t="n"/>
      <c r="B614" s="8" t="n"/>
      <c r="C614" s="21" t="n"/>
      <c r="D614" s="22" t="n"/>
      <c r="E614" s="22">
        <f>IFERROR(+VLOOKUP(C614,Master!B:C,2,0),"")</f>
        <v/>
      </c>
      <c r="F614" s="23">
        <f>LOOKUP(2,1/((Purchase!$D$1:$D$500=C614)*(Purchase!$A$1:$A$500&lt;=A614)),Purchase!$G$1:$G$500)</f>
        <v/>
      </c>
      <c r="G614" s="23">
        <f>+D614*F614</f>
        <v/>
      </c>
    </row>
    <row r="615">
      <c r="A615" s="8" t="n"/>
      <c r="B615" s="8" t="n"/>
      <c r="C615" s="21" t="n"/>
      <c r="D615" s="22" t="n"/>
      <c r="E615" s="22">
        <f>IFERROR(+VLOOKUP(C615,Master!B:C,2,0),"")</f>
        <v/>
      </c>
      <c r="F615" s="23">
        <f>LOOKUP(2,1/((Purchase!$D$1:$D$500=C615)*(Purchase!$A$1:$A$500&lt;=A615)),Purchase!$G$1:$G$500)</f>
        <v/>
      </c>
      <c r="G615" s="23">
        <f>+D615*F615</f>
        <v/>
      </c>
    </row>
    <row r="616">
      <c r="A616" s="8" t="n"/>
      <c r="B616" s="8" t="n"/>
      <c r="C616" s="21" t="n"/>
      <c r="D616" s="22" t="n"/>
      <c r="E616" s="22">
        <f>IFERROR(+VLOOKUP(C616,Master!B:C,2,0),"")</f>
        <v/>
      </c>
      <c r="F616" s="23">
        <f>LOOKUP(2,1/((Purchase!$D$1:$D$500=C616)*(Purchase!$A$1:$A$500&lt;=A616)),Purchase!$G$1:$G$500)</f>
        <v/>
      </c>
      <c r="G616" s="23">
        <f>+D616*F616</f>
        <v/>
      </c>
    </row>
    <row r="617">
      <c r="A617" s="8" t="n"/>
      <c r="B617" s="8" t="n"/>
      <c r="C617" s="21" t="n"/>
      <c r="D617" s="22" t="n"/>
      <c r="E617" s="22">
        <f>IFERROR(+VLOOKUP(C617,Master!B:C,2,0),"")</f>
        <v/>
      </c>
      <c r="F617" s="23">
        <f>LOOKUP(2,1/((Purchase!$D$1:$D$500=C617)*(Purchase!$A$1:$A$500&lt;=A617)),Purchase!$G$1:$G$500)</f>
        <v/>
      </c>
      <c r="G617" s="23">
        <f>+D617*F617</f>
        <v/>
      </c>
    </row>
    <row r="618">
      <c r="A618" s="8" t="n"/>
      <c r="B618" s="8" t="n"/>
      <c r="C618" s="21" t="n"/>
      <c r="D618" s="22" t="n"/>
      <c r="E618" s="22">
        <f>IFERROR(+VLOOKUP(C618,Master!B:C,2,0),"")</f>
        <v/>
      </c>
      <c r="F618" s="23">
        <f>LOOKUP(2,1/((Purchase!$D$1:$D$500=C618)*(Purchase!$A$1:$A$500&lt;=A618)),Purchase!$G$1:$G$500)</f>
        <v/>
      </c>
      <c r="G618" s="23">
        <f>+D618*F618</f>
        <v/>
      </c>
    </row>
    <row r="619">
      <c r="A619" s="8" t="n"/>
      <c r="B619" s="8" t="n"/>
      <c r="C619" s="21" t="n"/>
      <c r="D619" s="22" t="n"/>
      <c r="E619" s="22">
        <f>IFERROR(+VLOOKUP(C619,Master!B:C,2,0),"")</f>
        <v/>
      </c>
      <c r="F619" s="23">
        <f>LOOKUP(2,1/((Purchase!$D$1:$D$500=C619)*(Purchase!$A$1:$A$500&lt;=A619)),Purchase!$G$1:$G$500)</f>
        <v/>
      </c>
      <c r="G619" s="23">
        <f>+D619*F619</f>
        <v/>
      </c>
    </row>
    <row r="620">
      <c r="A620" s="8" t="n"/>
      <c r="B620" s="8" t="n"/>
      <c r="C620" s="21" t="n"/>
      <c r="D620" s="22" t="n"/>
      <c r="E620" s="22">
        <f>IFERROR(+VLOOKUP(C620,Master!B:C,2,0),"")</f>
        <v/>
      </c>
      <c r="F620" s="23">
        <f>LOOKUP(2,1/((Purchase!$D$1:$D$500=C620)*(Purchase!$A$1:$A$500&lt;=A620)),Purchase!$G$1:$G$500)</f>
        <v/>
      </c>
      <c r="G620" s="23">
        <f>+D620*F620</f>
        <v/>
      </c>
    </row>
    <row r="621">
      <c r="A621" s="8" t="n"/>
      <c r="B621" s="8" t="n"/>
      <c r="C621" s="21" t="n"/>
      <c r="D621" s="22" t="n"/>
      <c r="E621" s="22">
        <f>IFERROR(+VLOOKUP(C621,Master!B:C,2,0),"")</f>
        <v/>
      </c>
      <c r="F621" s="23">
        <f>LOOKUP(2,1/((Purchase!$D$1:$D$500=C621)*(Purchase!$A$1:$A$500&lt;=A621)),Purchase!$G$1:$G$500)</f>
        <v/>
      </c>
      <c r="G621" s="23">
        <f>+D621*F621</f>
        <v/>
      </c>
    </row>
    <row r="622">
      <c r="A622" s="8" t="n"/>
      <c r="B622" s="8" t="n"/>
      <c r="C622" s="21" t="n"/>
      <c r="D622" s="22" t="n"/>
      <c r="E622" s="22">
        <f>IFERROR(+VLOOKUP(C622,Master!B:C,2,0),"")</f>
        <v/>
      </c>
      <c r="F622" s="23">
        <f>LOOKUP(2,1/((Purchase!$D$1:$D$500=C622)*(Purchase!$A$1:$A$500&lt;=A622)),Purchase!$G$1:$G$500)</f>
        <v/>
      </c>
      <c r="G622" s="23">
        <f>+D622*F622</f>
        <v/>
      </c>
    </row>
    <row r="623">
      <c r="A623" s="8" t="n"/>
      <c r="B623" s="8" t="n"/>
      <c r="C623" s="21" t="n"/>
      <c r="D623" s="22" t="n"/>
      <c r="E623" s="22">
        <f>IFERROR(+VLOOKUP(C623,Master!B:C,2,0),"")</f>
        <v/>
      </c>
      <c r="F623" s="23">
        <f>LOOKUP(2,1/((Purchase!$D$1:$D$500=C623)*(Purchase!$A$1:$A$500&lt;=A623)),Purchase!$G$1:$G$500)</f>
        <v/>
      </c>
      <c r="G623" s="23">
        <f>+D623*F623</f>
        <v/>
      </c>
    </row>
    <row r="624">
      <c r="A624" s="8" t="n"/>
      <c r="B624" s="8" t="n"/>
      <c r="C624" s="21" t="n"/>
      <c r="D624" s="22" t="n"/>
      <c r="E624" s="22">
        <f>IFERROR(+VLOOKUP(C624,Master!B:C,2,0),"")</f>
        <v/>
      </c>
      <c r="F624" s="23">
        <f>LOOKUP(2,1/((Purchase!$D$1:$D$500=C624)*(Purchase!$A$1:$A$500&lt;=A624)),Purchase!$G$1:$G$500)</f>
        <v/>
      </c>
      <c r="G624" s="23">
        <f>+D624*F624</f>
        <v/>
      </c>
    </row>
    <row r="625">
      <c r="A625" s="8" t="n"/>
      <c r="B625" s="8" t="n"/>
      <c r="C625" s="21" t="n"/>
      <c r="D625" s="22" t="n"/>
      <c r="E625" s="22">
        <f>IFERROR(+VLOOKUP(C625,Master!B:C,2,0),"")</f>
        <v/>
      </c>
      <c r="F625" s="23">
        <f>LOOKUP(2,1/((Purchase!$D$1:$D$500=C625)*(Purchase!$A$1:$A$500&lt;=A625)),Purchase!$G$1:$G$500)</f>
        <v/>
      </c>
      <c r="G625" s="23">
        <f>+D625*F625</f>
        <v/>
      </c>
    </row>
    <row r="626">
      <c r="A626" s="8" t="n"/>
      <c r="B626" s="8" t="n"/>
      <c r="C626" s="21" t="n"/>
      <c r="D626" s="22" t="n"/>
      <c r="E626" s="22">
        <f>IFERROR(+VLOOKUP(C626,Master!B:C,2,0),"")</f>
        <v/>
      </c>
      <c r="F626" s="23">
        <f>LOOKUP(2,1/((Purchase!$D$1:$D$500=C626)*(Purchase!$A$1:$A$500&lt;=A626)),Purchase!$G$1:$G$500)</f>
        <v/>
      </c>
      <c r="G626" s="23">
        <f>+D626*F626</f>
        <v/>
      </c>
    </row>
    <row r="627">
      <c r="A627" s="8" t="n"/>
      <c r="B627" s="8" t="n"/>
      <c r="C627" s="21" t="n"/>
      <c r="D627" s="22" t="n"/>
      <c r="E627" s="22">
        <f>IFERROR(+VLOOKUP(C627,Master!B:C,2,0),"")</f>
        <v/>
      </c>
      <c r="F627" s="23">
        <f>LOOKUP(2,1/((Purchase!$D$1:$D$500=C627)*(Purchase!$A$1:$A$500&lt;=A627)),Purchase!$G$1:$G$500)</f>
        <v/>
      </c>
      <c r="G627" s="23">
        <f>+D627*F627</f>
        <v/>
      </c>
    </row>
    <row r="628">
      <c r="A628" s="8" t="n"/>
      <c r="B628" s="8" t="n"/>
      <c r="C628" s="21" t="n"/>
      <c r="D628" s="22" t="n"/>
      <c r="E628" s="22">
        <f>IFERROR(+VLOOKUP(C628,Master!B:C,2,0),"")</f>
        <v/>
      </c>
      <c r="F628" s="23">
        <f>LOOKUP(2,1/((Purchase!$D$1:$D$500=C628)*(Purchase!$A$1:$A$500&lt;=A628)),Purchase!$G$1:$G$500)</f>
        <v/>
      </c>
      <c r="G628" s="23">
        <f>+D628*F628</f>
        <v/>
      </c>
    </row>
    <row r="629">
      <c r="A629" s="8" t="n"/>
      <c r="B629" s="8" t="n"/>
      <c r="C629" s="21" t="n"/>
      <c r="D629" s="22" t="n"/>
      <c r="E629" s="22">
        <f>IFERROR(+VLOOKUP(C629,Master!B:C,2,0),"")</f>
        <v/>
      </c>
      <c r="F629" s="23">
        <f>LOOKUP(2,1/((Purchase!$D$1:$D$500=C629)*(Purchase!$A$1:$A$500&lt;=A629)),Purchase!$G$1:$G$500)</f>
        <v/>
      </c>
      <c r="G629" s="23">
        <f>+D629*F629</f>
        <v/>
      </c>
    </row>
    <row r="630">
      <c r="A630" s="8" t="n"/>
      <c r="B630" s="8" t="n"/>
      <c r="C630" s="21" t="n"/>
      <c r="D630" s="22" t="n"/>
      <c r="E630" s="22">
        <f>IFERROR(+VLOOKUP(C630,Master!B:C,2,0),"")</f>
        <v/>
      </c>
      <c r="F630" s="23">
        <f>LOOKUP(2,1/((Purchase!$D$1:$D$500=C630)*(Purchase!$A$1:$A$500&lt;=A630)),Purchase!$G$1:$G$500)</f>
        <v/>
      </c>
      <c r="G630" s="23">
        <f>+D630*F630</f>
        <v/>
      </c>
    </row>
    <row r="631">
      <c r="A631" s="8" t="n"/>
      <c r="B631" s="8" t="n"/>
      <c r="C631" s="21" t="n"/>
      <c r="D631" s="22" t="n"/>
      <c r="E631" s="22">
        <f>IFERROR(+VLOOKUP(C631,Master!B:C,2,0),"")</f>
        <v/>
      </c>
      <c r="F631" s="23">
        <f>LOOKUP(2,1/((Purchase!$D$1:$D$500=C631)*(Purchase!$A$1:$A$500&lt;=A631)),Purchase!$G$1:$G$500)</f>
        <v/>
      </c>
      <c r="G631" s="23">
        <f>+D631*F631</f>
        <v/>
      </c>
    </row>
    <row r="632">
      <c r="A632" s="8" t="n"/>
      <c r="B632" s="8" t="n"/>
      <c r="C632" s="21" t="n"/>
      <c r="D632" s="22" t="n"/>
      <c r="E632" s="22">
        <f>IFERROR(+VLOOKUP(C632,Master!B:C,2,0),"")</f>
        <v/>
      </c>
      <c r="F632" s="23">
        <f>LOOKUP(2,1/((Purchase!$D$1:$D$500=C632)*(Purchase!$A$1:$A$500&lt;=A632)),Purchase!$G$1:$G$500)</f>
        <v/>
      </c>
      <c r="G632" s="23">
        <f>+D632*F632</f>
        <v/>
      </c>
    </row>
    <row r="633">
      <c r="A633" s="8" t="n"/>
      <c r="B633" s="8" t="n"/>
      <c r="C633" s="21" t="n"/>
      <c r="D633" s="22" t="n"/>
      <c r="E633" s="22">
        <f>IFERROR(+VLOOKUP(C633,Master!B:C,2,0),"")</f>
        <v/>
      </c>
      <c r="F633" s="23">
        <f>LOOKUP(2,1/((Purchase!$D$1:$D$500=C633)*(Purchase!$A$1:$A$500&lt;=A633)),Purchase!$G$1:$G$500)</f>
        <v/>
      </c>
      <c r="G633" s="23">
        <f>+D633*F633</f>
        <v/>
      </c>
    </row>
    <row r="634">
      <c r="A634" s="8" t="n"/>
      <c r="B634" s="8" t="n"/>
      <c r="C634" s="21" t="n"/>
      <c r="D634" s="22" t="n"/>
      <c r="E634" s="22">
        <f>IFERROR(+VLOOKUP(C634,Master!B:C,2,0),"")</f>
        <v/>
      </c>
      <c r="F634" s="23">
        <f>LOOKUP(2,1/((Purchase!$D$1:$D$500=C634)*(Purchase!$A$1:$A$500&lt;=A634)),Purchase!$G$1:$G$500)</f>
        <v/>
      </c>
      <c r="G634" s="23">
        <f>+D634*F634</f>
        <v/>
      </c>
    </row>
    <row r="635">
      <c r="A635" s="8" t="n"/>
      <c r="B635" s="8" t="n"/>
      <c r="C635" s="21" t="n"/>
      <c r="D635" s="22" t="n"/>
      <c r="E635" s="22">
        <f>IFERROR(+VLOOKUP(C635,Master!B:C,2,0),"")</f>
        <v/>
      </c>
      <c r="F635" s="23">
        <f>LOOKUP(2,1/((Purchase!$D$1:$D$500=C635)*(Purchase!$A$1:$A$500&lt;=A635)),Purchase!$G$1:$G$500)</f>
        <v/>
      </c>
      <c r="G635" s="23">
        <f>+D635*F635</f>
        <v/>
      </c>
    </row>
    <row r="636">
      <c r="A636" s="8" t="n"/>
      <c r="B636" s="8" t="n"/>
      <c r="C636" s="21" t="n"/>
      <c r="D636" s="22" t="n"/>
      <c r="E636" s="22">
        <f>IFERROR(+VLOOKUP(C636,Master!B:C,2,0),"")</f>
        <v/>
      </c>
      <c r="F636" s="23">
        <f>LOOKUP(2,1/((Purchase!$D$1:$D$500=C636)*(Purchase!$A$1:$A$500&lt;=A636)),Purchase!$G$1:$G$500)</f>
        <v/>
      </c>
      <c r="G636" s="23">
        <f>+D636*F636</f>
        <v/>
      </c>
    </row>
    <row r="637">
      <c r="A637" s="8" t="n"/>
      <c r="B637" s="8" t="n"/>
      <c r="C637" s="21" t="n"/>
      <c r="D637" s="22" t="n"/>
      <c r="E637" s="22">
        <f>IFERROR(+VLOOKUP(C637,Master!B:C,2,0),"")</f>
        <v/>
      </c>
      <c r="F637" s="23">
        <f>LOOKUP(2,1/((Purchase!$D$1:$D$500=C637)*(Purchase!$A$1:$A$500&lt;=A637)),Purchase!$G$1:$G$500)</f>
        <v/>
      </c>
      <c r="G637" s="23">
        <f>+D637*F637</f>
        <v/>
      </c>
    </row>
    <row r="638">
      <c r="A638" s="8" t="n"/>
      <c r="B638" s="8" t="n"/>
      <c r="C638" s="21" t="n"/>
      <c r="D638" s="22" t="n"/>
      <c r="E638" s="22">
        <f>IFERROR(+VLOOKUP(C638,Master!B:C,2,0),"")</f>
        <v/>
      </c>
      <c r="F638" s="23">
        <f>LOOKUP(2,1/((Purchase!$D$1:$D$500=C638)*(Purchase!$A$1:$A$500&lt;=A638)),Purchase!$G$1:$G$500)</f>
        <v/>
      </c>
      <c r="G638" s="23">
        <f>+D638*F638</f>
        <v/>
      </c>
    </row>
    <row r="639">
      <c r="A639" s="8" t="n"/>
      <c r="B639" s="8" t="n"/>
      <c r="C639" s="21" t="n"/>
      <c r="D639" s="22" t="n"/>
      <c r="E639" s="22">
        <f>IFERROR(+VLOOKUP(C639,Master!B:C,2,0),"")</f>
        <v/>
      </c>
      <c r="F639" s="23">
        <f>LOOKUP(2,1/((Purchase!$D$1:$D$500=C639)*(Purchase!$A$1:$A$500&lt;=A639)),Purchase!$G$1:$G$500)</f>
        <v/>
      </c>
      <c r="G639" s="23">
        <f>+D639*F639</f>
        <v/>
      </c>
    </row>
    <row r="640">
      <c r="A640" s="8" t="n"/>
      <c r="B640" s="8" t="n"/>
      <c r="C640" s="21" t="n"/>
      <c r="D640" s="22" t="n"/>
      <c r="E640" s="22">
        <f>IFERROR(+VLOOKUP(C640,Master!B:C,2,0),"")</f>
        <v/>
      </c>
      <c r="F640" s="23">
        <f>LOOKUP(2,1/((Purchase!$D$1:$D$500=C640)*(Purchase!$A$1:$A$500&lt;=A640)),Purchase!$G$1:$G$500)</f>
        <v/>
      </c>
      <c r="G640" s="23">
        <f>+D640*F640</f>
        <v/>
      </c>
    </row>
    <row r="641">
      <c r="A641" s="8" t="n"/>
      <c r="B641" s="8" t="n"/>
      <c r="C641" s="21" t="n"/>
      <c r="D641" s="22" t="n"/>
      <c r="E641" s="22">
        <f>IFERROR(+VLOOKUP(C641,Master!B:C,2,0),"")</f>
        <v/>
      </c>
      <c r="F641" s="23">
        <f>LOOKUP(2,1/((Purchase!$D$1:$D$500=C641)*(Purchase!$A$1:$A$500&lt;=A641)),Purchase!$G$1:$G$500)</f>
        <v/>
      </c>
      <c r="G641" s="23">
        <f>+D641*F641</f>
        <v/>
      </c>
    </row>
    <row r="642">
      <c r="A642" s="8" t="n"/>
      <c r="B642" s="8" t="n"/>
      <c r="C642" s="21" t="n"/>
      <c r="D642" s="22" t="n"/>
      <c r="E642" s="22">
        <f>IFERROR(+VLOOKUP(C642,Master!B:C,2,0),"")</f>
        <v/>
      </c>
      <c r="F642" s="23">
        <f>LOOKUP(2,1/((Purchase!$D$1:$D$500=C642)*(Purchase!$A$1:$A$500&lt;=A642)),Purchase!$G$1:$G$500)</f>
        <v/>
      </c>
      <c r="G642" s="23">
        <f>+D642*F642</f>
        <v/>
      </c>
    </row>
    <row r="643">
      <c r="A643" s="8" t="n"/>
      <c r="B643" s="8" t="n"/>
      <c r="C643" s="21" t="n"/>
      <c r="D643" s="22" t="n"/>
      <c r="E643" s="22">
        <f>IFERROR(+VLOOKUP(C643,Master!B:C,2,0),"")</f>
        <v/>
      </c>
      <c r="F643" s="23">
        <f>LOOKUP(2,1/((Purchase!$D$1:$D$500=C643)*(Purchase!$A$1:$A$500&lt;=A643)),Purchase!$G$1:$G$500)</f>
        <v/>
      </c>
      <c r="G643" s="23">
        <f>+D643*F643</f>
        <v/>
      </c>
    </row>
    <row r="644">
      <c r="A644" s="8" t="n"/>
      <c r="B644" s="8" t="n"/>
      <c r="C644" s="21" t="n"/>
      <c r="D644" s="22" t="n"/>
      <c r="E644" s="22">
        <f>IFERROR(+VLOOKUP(C644,Master!B:C,2,0),"")</f>
        <v/>
      </c>
      <c r="F644" s="23">
        <f>LOOKUP(2,1/((Purchase!$D$1:$D$500=C644)*(Purchase!$A$1:$A$500&lt;=A644)),Purchase!$G$1:$G$500)</f>
        <v/>
      </c>
      <c r="G644" s="23">
        <f>+D644*F644</f>
        <v/>
      </c>
    </row>
    <row r="645">
      <c r="A645" s="8" t="n"/>
      <c r="B645" s="8" t="n"/>
      <c r="C645" s="21" t="n"/>
      <c r="D645" s="22" t="n"/>
      <c r="E645" s="22">
        <f>IFERROR(+VLOOKUP(C645,Master!B:C,2,0),"")</f>
        <v/>
      </c>
      <c r="F645" s="23">
        <f>LOOKUP(2,1/((Purchase!$D$1:$D$500=C645)*(Purchase!$A$1:$A$500&lt;=A645)),Purchase!$G$1:$G$500)</f>
        <v/>
      </c>
      <c r="G645" s="23">
        <f>+D645*F645</f>
        <v/>
      </c>
    </row>
    <row r="646">
      <c r="A646" s="8" t="n"/>
      <c r="B646" s="8" t="n"/>
      <c r="C646" s="21" t="n"/>
      <c r="D646" s="22" t="n"/>
      <c r="E646" s="22">
        <f>IFERROR(+VLOOKUP(C646,Master!B:C,2,0),"")</f>
        <v/>
      </c>
      <c r="F646" s="23">
        <f>LOOKUP(2,1/((Purchase!$D$1:$D$500=C646)*(Purchase!$A$1:$A$500&lt;=A646)),Purchase!$G$1:$G$500)</f>
        <v/>
      </c>
      <c r="G646" s="23">
        <f>+D646*F646</f>
        <v/>
      </c>
    </row>
    <row r="647">
      <c r="A647" s="8" t="n"/>
      <c r="B647" s="8" t="n"/>
      <c r="C647" s="21" t="n"/>
      <c r="D647" s="22" t="n"/>
      <c r="E647" s="22">
        <f>IFERROR(+VLOOKUP(C647,Master!B:C,2,0),"")</f>
        <v/>
      </c>
      <c r="F647" s="23">
        <f>LOOKUP(2,1/((Purchase!$D$1:$D$500=C647)*(Purchase!$A$1:$A$500&lt;=A647)),Purchase!$G$1:$G$500)</f>
        <v/>
      </c>
      <c r="G647" s="23">
        <f>+D647*F647</f>
        <v/>
      </c>
    </row>
    <row r="648">
      <c r="A648" s="8" t="n"/>
      <c r="B648" s="8" t="n"/>
      <c r="C648" s="21" t="n"/>
      <c r="D648" s="22" t="n"/>
      <c r="E648" s="22">
        <f>IFERROR(+VLOOKUP(C648,Master!B:C,2,0),"")</f>
        <v/>
      </c>
      <c r="F648" s="23">
        <f>LOOKUP(2,1/((Purchase!$D$1:$D$500=C648)*(Purchase!$A$1:$A$500&lt;=A648)),Purchase!$G$1:$G$500)</f>
        <v/>
      </c>
      <c r="G648" s="23">
        <f>+D648*F648</f>
        <v/>
      </c>
    </row>
    <row r="649">
      <c r="A649" s="8" t="n"/>
      <c r="B649" s="8" t="n"/>
      <c r="C649" s="21" t="n"/>
      <c r="D649" s="22" t="n"/>
      <c r="E649" s="22">
        <f>IFERROR(+VLOOKUP(C649,Master!B:C,2,0),"")</f>
        <v/>
      </c>
      <c r="F649" s="23">
        <f>LOOKUP(2,1/((Purchase!$D$1:$D$500=C649)*(Purchase!$A$1:$A$500&lt;=A649)),Purchase!$G$1:$G$500)</f>
        <v/>
      </c>
      <c r="G649" s="23">
        <f>+D649*F649</f>
        <v/>
      </c>
    </row>
    <row r="650">
      <c r="A650" s="8" t="n"/>
      <c r="B650" s="8" t="n"/>
      <c r="C650" s="21" t="n"/>
      <c r="D650" s="22" t="n"/>
      <c r="E650" s="22">
        <f>IFERROR(+VLOOKUP(C650,Master!B:C,2,0),"")</f>
        <v/>
      </c>
      <c r="F650" s="23">
        <f>LOOKUP(2,1/((Purchase!$D$1:$D$500=C650)*(Purchase!$A$1:$A$500&lt;=A650)),Purchase!$G$1:$G$500)</f>
        <v/>
      </c>
      <c r="G650" s="23">
        <f>+D650*F650</f>
        <v/>
      </c>
    </row>
    <row r="651">
      <c r="A651" s="8" t="n"/>
      <c r="B651" s="8" t="n"/>
      <c r="C651" s="21" t="n"/>
      <c r="D651" s="22" t="n"/>
      <c r="E651" s="22">
        <f>IFERROR(+VLOOKUP(C651,Master!B:C,2,0),"")</f>
        <v/>
      </c>
      <c r="F651" s="23">
        <f>LOOKUP(2,1/((Purchase!$D$1:$D$500=C651)*(Purchase!$A$1:$A$500&lt;=A651)),Purchase!$G$1:$G$500)</f>
        <v/>
      </c>
      <c r="G651" s="23">
        <f>+D651*F651</f>
        <v/>
      </c>
    </row>
    <row r="652">
      <c r="A652" s="8" t="n"/>
      <c r="B652" s="8" t="n"/>
      <c r="C652" s="21" t="n"/>
      <c r="D652" s="22" t="n"/>
      <c r="E652" s="22">
        <f>IFERROR(+VLOOKUP(C652,Master!B:C,2,0),"")</f>
        <v/>
      </c>
      <c r="F652" s="23">
        <f>LOOKUP(2,1/((Purchase!$D$1:$D$500=C652)*(Purchase!$A$1:$A$500&lt;=A652)),Purchase!$G$1:$G$500)</f>
        <v/>
      </c>
      <c r="G652" s="23">
        <f>+D652*F652</f>
        <v/>
      </c>
    </row>
    <row r="653">
      <c r="A653" s="8" t="n"/>
      <c r="B653" s="8" t="n"/>
      <c r="C653" s="21" t="n"/>
      <c r="D653" s="22" t="n"/>
      <c r="E653" s="22">
        <f>IFERROR(+VLOOKUP(C653,Master!B:C,2,0),"")</f>
        <v/>
      </c>
      <c r="F653" s="23">
        <f>LOOKUP(2,1/((Purchase!$D$1:$D$500=C653)*(Purchase!$A$1:$A$500&lt;=A653)),Purchase!$G$1:$G$500)</f>
        <v/>
      </c>
      <c r="G653" s="23">
        <f>+D653*F653</f>
        <v/>
      </c>
    </row>
    <row r="654">
      <c r="A654" s="8" t="n"/>
      <c r="B654" s="8" t="n"/>
      <c r="C654" s="21" t="n"/>
      <c r="D654" s="22" t="n"/>
      <c r="E654" s="22">
        <f>IFERROR(+VLOOKUP(C654,Master!B:C,2,0),"")</f>
        <v/>
      </c>
      <c r="F654" s="23">
        <f>LOOKUP(2,1/((Purchase!$D$1:$D$500=C654)*(Purchase!$A$1:$A$500&lt;=A654)),Purchase!$G$1:$G$500)</f>
        <v/>
      </c>
      <c r="G654" s="23">
        <f>+D654*F654</f>
        <v/>
      </c>
    </row>
    <row r="655">
      <c r="A655" s="8" t="n"/>
      <c r="B655" s="8" t="n"/>
      <c r="C655" s="21" t="n"/>
      <c r="D655" s="22" t="n"/>
      <c r="E655" s="22">
        <f>IFERROR(+VLOOKUP(C655,Master!B:C,2,0),"")</f>
        <v/>
      </c>
      <c r="F655" s="23">
        <f>LOOKUP(2,1/((Purchase!$D$1:$D$500=C655)*(Purchase!$A$1:$A$500&lt;=A655)),Purchase!$G$1:$G$500)</f>
        <v/>
      </c>
      <c r="G655" s="23">
        <f>+D655*F655</f>
        <v/>
      </c>
    </row>
    <row r="656">
      <c r="A656" s="8" t="n"/>
      <c r="B656" s="8" t="n"/>
      <c r="C656" s="21" t="n"/>
      <c r="D656" s="22" t="n"/>
      <c r="E656" s="22">
        <f>IFERROR(+VLOOKUP(C656,Master!B:C,2,0),"")</f>
        <v/>
      </c>
      <c r="F656" s="23">
        <f>LOOKUP(2,1/((Purchase!$D$1:$D$500=C656)*(Purchase!$A$1:$A$500&lt;=A656)),Purchase!$G$1:$G$500)</f>
        <v/>
      </c>
      <c r="G656" s="23">
        <f>+D656*F656</f>
        <v/>
      </c>
    </row>
    <row r="657">
      <c r="A657" s="8" t="n"/>
      <c r="B657" s="8" t="n"/>
      <c r="C657" s="21" t="n"/>
      <c r="D657" s="22" t="n"/>
      <c r="E657" s="22">
        <f>IFERROR(+VLOOKUP(C657,Master!B:C,2,0),"")</f>
        <v/>
      </c>
      <c r="F657" s="23">
        <f>LOOKUP(2,1/((Purchase!$D$1:$D$500=C657)*(Purchase!$A$1:$A$500&lt;=A657)),Purchase!$G$1:$G$500)</f>
        <v/>
      </c>
      <c r="G657" s="23">
        <f>+D657*F657</f>
        <v/>
      </c>
    </row>
    <row r="658">
      <c r="A658" s="8" t="n"/>
      <c r="B658" s="8" t="n"/>
      <c r="C658" s="21" t="n"/>
      <c r="D658" s="22" t="n"/>
      <c r="E658" s="22">
        <f>IFERROR(+VLOOKUP(C658,Master!B:C,2,0),"")</f>
        <v/>
      </c>
      <c r="F658" s="23">
        <f>LOOKUP(2,1/((Purchase!$D$1:$D$500=C658)*(Purchase!$A$1:$A$500&lt;=A658)),Purchase!$G$1:$G$500)</f>
        <v/>
      </c>
      <c r="G658" s="23">
        <f>+D658*F658</f>
        <v/>
      </c>
    </row>
    <row r="659">
      <c r="A659" s="8" t="n"/>
      <c r="B659" s="8" t="n"/>
      <c r="C659" s="21" t="n"/>
      <c r="D659" s="22" t="n"/>
      <c r="E659" s="22">
        <f>IFERROR(+VLOOKUP(C659,Master!B:C,2,0),"")</f>
        <v/>
      </c>
      <c r="F659" s="23">
        <f>LOOKUP(2,1/((Purchase!$D$1:$D$500=C659)*(Purchase!$A$1:$A$500&lt;=A659)),Purchase!$G$1:$G$500)</f>
        <v/>
      </c>
      <c r="G659" s="23">
        <f>+D659*F659</f>
        <v/>
      </c>
    </row>
    <row r="660">
      <c r="A660" s="8" t="n"/>
      <c r="B660" s="8" t="n"/>
      <c r="C660" s="21" t="n"/>
      <c r="D660" s="22" t="n"/>
      <c r="E660" s="22">
        <f>IFERROR(+VLOOKUP(C660,Master!B:C,2,0),"")</f>
        <v/>
      </c>
      <c r="F660" s="23">
        <f>LOOKUP(2,1/((Purchase!$D$1:$D$500=C660)*(Purchase!$A$1:$A$500&lt;=A660)),Purchase!$G$1:$G$500)</f>
        <v/>
      </c>
      <c r="G660" s="23">
        <f>+D660*F660</f>
        <v/>
      </c>
    </row>
    <row r="661">
      <c r="A661" s="8" t="n"/>
      <c r="B661" s="8" t="n"/>
      <c r="C661" s="21" t="n"/>
      <c r="D661" s="22" t="n"/>
      <c r="E661" s="22">
        <f>IFERROR(+VLOOKUP(C661,Master!B:C,2,0),"")</f>
        <v/>
      </c>
      <c r="F661" s="23">
        <f>LOOKUP(2,1/((Purchase!$D$1:$D$500=C661)*(Purchase!$A$1:$A$500&lt;=A661)),Purchase!$G$1:$G$500)</f>
        <v/>
      </c>
      <c r="G661" s="23">
        <f>+D661*F661</f>
        <v/>
      </c>
    </row>
    <row r="662">
      <c r="A662" s="8" t="n"/>
      <c r="B662" s="8" t="n"/>
      <c r="C662" s="21" t="n"/>
      <c r="D662" s="22" t="n"/>
      <c r="E662" s="22">
        <f>IFERROR(+VLOOKUP(C662,Master!B:C,2,0),"")</f>
        <v/>
      </c>
      <c r="F662" s="23">
        <f>LOOKUP(2,1/((Purchase!$D$1:$D$500=C662)*(Purchase!$A$1:$A$500&lt;=A662)),Purchase!$G$1:$G$500)</f>
        <v/>
      </c>
      <c r="G662" s="23">
        <f>+D662*F662</f>
        <v/>
      </c>
    </row>
    <row r="663">
      <c r="A663" s="8" t="n"/>
      <c r="B663" s="8" t="n"/>
      <c r="C663" s="21" t="n"/>
      <c r="D663" s="22" t="n"/>
      <c r="E663" s="22">
        <f>IFERROR(+VLOOKUP(C663,Master!B:C,2,0),"")</f>
        <v/>
      </c>
      <c r="F663" s="23">
        <f>LOOKUP(2,1/((Purchase!$D$1:$D$500=C663)*(Purchase!$A$1:$A$500&lt;=A663)),Purchase!$G$1:$G$500)</f>
        <v/>
      </c>
      <c r="G663" s="23">
        <f>+D663*F663</f>
        <v/>
      </c>
    </row>
    <row r="664">
      <c r="A664" s="8" t="n"/>
      <c r="B664" s="8" t="n"/>
      <c r="C664" s="21" t="n"/>
      <c r="D664" s="22" t="n"/>
      <c r="E664" s="22">
        <f>IFERROR(+VLOOKUP(C664,Master!B:C,2,0),"")</f>
        <v/>
      </c>
      <c r="F664" s="23">
        <f>LOOKUP(2,1/((Purchase!$D$1:$D$500=C664)*(Purchase!$A$1:$A$500&lt;=A664)),Purchase!$G$1:$G$500)</f>
        <v/>
      </c>
      <c r="G664" s="23">
        <f>+D664*F664</f>
        <v/>
      </c>
    </row>
    <row r="665">
      <c r="A665" s="8" t="n"/>
      <c r="B665" s="8" t="n"/>
      <c r="C665" s="21" t="n"/>
      <c r="D665" s="22" t="n"/>
      <c r="E665" s="22">
        <f>IFERROR(+VLOOKUP(C665,Master!B:C,2,0),"")</f>
        <v/>
      </c>
      <c r="F665" s="23">
        <f>LOOKUP(2,1/((Purchase!$D$1:$D$500=C665)*(Purchase!$A$1:$A$500&lt;=A665)),Purchase!$G$1:$G$500)</f>
        <v/>
      </c>
      <c r="G665" s="23">
        <f>+D665*F665</f>
        <v/>
      </c>
    </row>
    <row r="666">
      <c r="A666" s="8" t="n"/>
      <c r="B666" s="8" t="n"/>
      <c r="C666" s="21" t="n"/>
      <c r="D666" s="22" t="n"/>
      <c r="E666" s="22">
        <f>IFERROR(+VLOOKUP(C666,Master!B:C,2,0),"")</f>
        <v/>
      </c>
      <c r="F666" s="23">
        <f>LOOKUP(2,1/((Purchase!$D$1:$D$500=C666)*(Purchase!$A$1:$A$500&lt;=A666)),Purchase!$G$1:$G$500)</f>
        <v/>
      </c>
      <c r="G666" s="23">
        <f>+D666*F666</f>
        <v/>
      </c>
    </row>
    <row r="667">
      <c r="A667" s="8" t="n"/>
      <c r="B667" s="8" t="n"/>
      <c r="C667" s="21" t="n"/>
      <c r="D667" s="22" t="n"/>
      <c r="E667" s="22">
        <f>IFERROR(+VLOOKUP(C667,Master!B:C,2,0),"")</f>
        <v/>
      </c>
      <c r="F667" s="23">
        <f>LOOKUP(2,1/((Purchase!$D$1:$D$500=C667)*(Purchase!$A$1:$A$500&lt;=A667)),Purchase!$G$1:$G$500)</f>
        <v/>
      </c>
      <c r="G667" s="23">
        <f>+D667*F667</f>
        <v/>
      </c>
    </row>
    <row r="668">
      <c r="A668" s="8" t="n"/>
      <c r="B668" s="8" t="n"/>
      <c r="C668" s="21" t="n"/>
      <c r="D668" s="22" t="n"/>
      <c r="E668" s="22">
        <f>IFERROR(+VLOOKUP(C668,Master!B:C,2,0),"")</f>
        <v/>
      </c>
      <c r="F668" s="23">
        <f>LOOKUP(2,1/((Purchase!$D$1:$D$500=C668)*(Purchase!$A$1:$A$500&lt;=A668)),Purchase!$G$1:$G$500)</f>
        <v/>
      </c>
      <c r="G668" s="23">
        <f>+D668*F668</f>
        <v/>
      </c>
    </row>
    <row r="669">
      <c r="A669" s="8" t="n"/>
      <c r="B669" s="8" t="n"/>
      <c r="C669" s="21" t="n"/>
      <c r="D669" s="22" t="n"/>
      <c r="E669" s="22">
        <f>IFERROR(+VLOOKUP(C669,Master!B:C,2,0),"")</f>
        <v/>
      </c>
      <c r="F669" s="23">
        <f>LOOKUP(2,1/((Purchase!$D$1:$D$500=C669)*(Purchase!$A$1:$A$500&lt;=A669)),Purchase!$G$1:$G$500)</f>
        <v/>
      </c>
      <c r="G669" s="23">
        <f>+D669*F669</f>
        <v/>
      </c>
    </row>
    <row r="670">
      <c r="A670" s="8" t="n"/>
      <c r="B670" s="8" t="n"/>
      <c r="C670" s="21" t="n"/>
      <c r="D670" s="22" t="n"/>
      <c r="E670" s="22">
        <f>IFERROR(+VLOOKUP(C670,Master!B:C,2,0),"")</f>
        <v/>
      </c>
      <c r="F670" s="23">
        <f>LOOKUP(2,1/((Purchase!$D$1:$D$500=C670)*(Purchase!$A$1:$A$500&lt;=A670)),Purchase!$G$1:$G$500)</f>
        <v/>
      </c>
      <c r="G670" s="23">
        <f>+D670*F670</f>
        <v/>
      </c>
    </row>
    <row r="671">
      <c r="A671" s="8" t="n"/>
      <c r="B671" s="8" t="n"/>
      <c r="C671" s="21" t="n"/>
      <c r="D671" s="22" t="n"/>
      <c r="E671" s="22">
        <f>IFERROR(+VLOOKUP(C671,Master!B:C,2,0),"")</f>
        <v/>
      </c>
      <c r="F671" s="23">
        <f>LOOKUP(2,1/((Purchase!$D$1:$D$500=C671)*(Purchase!$A$1:$A$500&lt;=A671)),Purchase!$G$1:$G$500)</f>
        <v/>
      </c>
      <c r="G671" s="23">
        <f>+D671*F671</f>
        <v/>
      </c>
    </row>
    <row r="672">
      <c r="A672" s="8" t="n"/>
      <c r="B672" s="8" t="n"/>
      <c r="C672" s="21" t="n"/>
      <c r="D672" s="22" t="n"/>
      <c r="E672" s="22">
        <f>IFERROR(+VLOOKUP(C672,Master!B:C,2,0),"")</f>
        <v/>
      </c>
      <c r="F672" s="23">
        <f>LOOKUP(2,1/((Purchase!$D$1:$D$500=C672)*(Purchase!$A$1:$A$500&lt;=A672)),Purchase!$G$1:$G$500)</f>
        <v/>
      </c>
      <c r="G672" s="23">
        <f>+D672*F672</f>
        <v/>
      </c>
    </row>
    <row r="673">
      <c r="A673" s="8" t="n"/>
      <c r="B673" s="8" t="n"/>
      <c r="C673" s="21" t="n"/>
      <c r="D673" s="22" t="n"/>
      <c r="E673" s="22">
        <f>IFERROR(+VLOOKUP(C673,Master!B:C,2,0),"")</f>
        <v/>
      </c>
      <c r="F673" s="23">
        <f>LOOKUP(2,1/((Purchase!$D$1:$D$500=C673)*(Purchase!$A$1:$A$500&lt;=A673)),Purchase!$G$1:$G$500)</f>
        <v/>
      </c>
      <c r="G673" s="23">
        <f>+D673*F673</f>
        <v/>
      </c>
    </row>
    <row r="674">
      <c r="A674" s="8" t="n"/>
      <c r="B674" s="8" t="n"/>
      <c r="C674" s="21" t="n"/>
      <c r="D674" s="22" t="n"/>
      <c r="E674" s="22">
        <f>IFERROR(+VLOOKUP(C674,Master!B:C,2,0),"")</f>
        <v/>
      </c>
      <c r="F674" s="23">
        <f>LOOKUP(2,1/((Purchase!$D$1:$D$500=C674)*(Purchase!$A$1:$A$500&lt;=A674)),Purchase!$G$1:$G$500)</f>
        <v/>
      </c>
      <c r="G674" s="23">
        <f>+D674*F674</f>
        <v/>
      </c>
    </row>
    <row r="675">
      <c r="A675" s="8" t="n"/>
      <c r="B675" s="8" t="n"/>
      <c r="C675" s="21" t="n"/>
      <c r="D675" s="22" t="n"/>
      <c r="E675" s="22">
        <f>IFERROR(+VLOOKUP(C675,Master!B:C,2,0),"")</f>
        <v/>
      </c>
      <c r="F675" s="23">
        <f>LOOKUP(2,1/((Purchase!$D$1:$D$500=C675)*(Purchase!$A$1:$A$500&lt;=A675)),Purchase!$G$1:$G$500)</f>
        <v/>
      </c>
      <c r="G675" s="23">
        <f>+D675*F675</f>
        <v/>
      </c>
    </row>
    <row r="676">
      <c r="A676" s="8" t="n"/>
      <c r="B676" s="8" t="n"/>
      <c r="C676" s="21" t="n"/>
      <c r="D676" s="22" t="n"/>
      <c r="E676" s="22">
        <f>IFERROR(+VLOOKUP(C676,Master!B:C,2,0),"")</f>
        <v/>
      </c>
      <c r="F676" s="23">
        <f>LOOKUP(2,1/((Purchase!$D$1:$D$500=C676)*(Purchase!$A$1:$A$500&lt;=A676)),Purchase!$G$1:$G$500)</f>
        <v/>
      </c>
      <c r="G676" s="23">
        <f>+D676*F676</f>
        <v/>
      </c>
    </row>
    <row r="677">
      <c r="A677" s="8" t="n"/>
      <c r="B677" s="8" t="n"/>
      <c r="C677" s="21" t="n"/>
      <c r="D677" s="22" t="n"/>
      <c r="E677" s="22">
        <f>IFERROR(+VLOOKUP(C677,Master!B:C,2,0),"")</f>
        <v/>
      </c>
      <c r="F677" s="23">
        <f>LOOKUP(2,1/((Purchase!$D$1:$D$500=C677)*(Purchase!$A$1:$A$500&lt;=A677)),Purchase!$G$1:$G$500)</f>
        <v/>
      </c>
      <c r="G677" s="23">
        <f>+D677*F677</f>
        <v/>
      </c>
    </row>
    <row r="678">
      <c r="A678" s="8" t="n"/>
      <c r="B678" s="8" t="n"/>
      <c r="C678" s="21" t="n"/>
      <c r="D678" s="22" t="n"/>
      <c r="E678" s="22">
        <f>IFERROR(+VLOOKUP(C678,Master!B:C,2,0),"")</f>
        <v/>
      </c>
      <c r="F678" s="23">
        <f>LOOKUP(2,1/((Purchase!$D$1:$D$500=C678)*(Purchase!$A$1:$A$500&lt;=A678)),Purchase!$G$1:$G$500)</f>
        <v/>
      </c>
      <c r="G678" s="23">
        <f>+D678*F678</f>
        <v/>
      </c>
    </row>
    <row r="679">
      <c r="A679" s="8" t="n"/>
      <c r="B679" s="8" t="n"/>
      <c r="C679" s="21" t="n"/>
      <c r="D679" s="22" t="n"/>
      <c r="E679" s="22">
        <f>IFERROR(+VLOOKUP(C679,Master!B:C,2,0),"")</f>
        <v/>
      </c>
      <c r="F679" s="23">
        <f>LOOKUP(2,1/((Purchase!$D$1:$D$500=C679)*(Purchase!$A$1:$A$500&lt;=A679)),Purchase!$G$1:$G$500)</f>
        <v/>
      </c>
      <c r="G679" s="23">
        <f>+D679*F679</f>
        <v/>
      </c>
    </row>
    <row r="680">
      <c r="A680" s="8" t="n"/>
      <c r="B680" s="8" t="n"/>
      <c r="C680" s="21" t="n"/>
      <c r="D680" s="22" t="n"/>
      <c r="E680" s="22">
        <f>IFERROR(+VLOOKUP(C680,Master!B:C,2,0),"")</f>
        <v/>
      </c>
      <c r="F680" s="23">
        <f>LOOKUP(2,1/((Purchase!$D$1:$D$500=C680)*(Purchase!$A$1:$A$500&lt;=A680)),Purchase!$G$1:$G$500)</f>
        <v/>
      </c>
      <c r="G680" s="23">
        <f>+D680*F680</f>
        <v/>
      </c>
    </row>
    <row r="681">
      <c r="A681" s="8" t="n"/>
      <c r="B681" s="8" t="n"/>
      <c r="C681" s="21" t="n"/>
      <c r="D681" s="22" t="n"/>
      <c r="E681" s="22">
        <f>IFERROR(+VLOOKUP(C681,Master!B:C,2,0),"")</f>
        <v/>
      </c>
      <c r="F681" s="23">
        <f>LOOKUP(2,1/((Purchase!$D$1:$D$500=C681)*(Purchase!$A$1:$A$500&lt;=A681)),Purchase!$G$1:$G$500)</f>
        <v/>
      </c>
      <c r="G681" s="23">
        <f>+D681*F681</f>
        <v/>
      </c>
    </row>
    <row r="682">
      <c r="A682" s="8" t="n"/>
      <c r="B682" s="8" t="n"/>
      <c r="C682" s="21" t="n"/>
      <c r="D682" s="22" t="n"/>
      <c r="E682" s="22">
        <f>IFERROR(+VLOOKUP(C682,Master!B:C,2,0),"")</f>
        <v/>
      </c>
      <c r="F682" s="23">
        <f>LOOKUP(2,1/((Purchase!$D$1:$D$500=C682)*(Purchase!$A$1:$A$500&lt;=A682)),Purchase!$G$1:$G$500)</f>
        <v/>
      </c>
      <c r="G682" s="23">
        <f>+D682*F682</f>
        <v/>
      </c>
    </row>
    <row r="683">
      <c r="A683" s="8" t="n"/>
      <c r="B683" s="8" t="n"/>
      <c r="C683" s="21" t="n"/>
      <c r="D683" s="22" t="n"/>
      <c r="E683" s="22">
        <f>IFERROR(+VLOOKUP(C683,Master!B:C,2,0),"")</f>
        <v/>
      </c>
      <c r="F683" s="23">
        <f>LOOKUP(2,1/((Purchase!$D$1:$D$500=C683)*(Purchase!$A$1:$A$500&lt;=A683)),Purchase!$G$1:$G$500)</f>
        <v/>
      </c>
      <c r="G683" s="23">
        <f>+D683*F683</f>
        <v/>
      </c>
    </row>
    <row r="684">
      <c r="A684" s="8" t="n"/>
      <c r="B684" s="8" t="n"/>
      <c r="C684" s="21" t="n"/>
      <c r="D684" s="22" t="n"/>
      <c r="E684" s="22">
        <f>IFERROR(+VLOOKUP(C684,Master!B:C,2,0),"")</f>
        <v/>
      </c>
      <c r="F684" s="23">
        <f>LOOKUP(2,1/((Purchase!$D$1:$D$500=C684)*(Purchase!$A$1:$A$500&lt;=A684)),Purchase!$G$1:$G$500)</f>
        <v/>
      </c>
      <c r="G684" s="23">
        <f>+D684*F684</f>
        <v/>
      </c>
    </row>
    <row r="685">
      <c r="A685" s="8" t="n"/>
      <c r="B685" s="8" t="n"/>
      <c r="C685" s="21" t="n"/>
      <c r="D685" s="22" t="n"/>
      <c r="E685" s="22">
        <f>IFERROR(+VLOOKUP(C685,Master!B:C,2,0),"")</f>
        <v/>
      </c>
      <c r="F685" s="23">
        <f>LOOKUP(2,1/((Purchase!$D$1:$D$500=C685)*(Purchase!$A$1:$A$500&lt;=A685)),Purchase!$G$1:$G$500)</f>
        <v/>
      </c>
      <c r="G685" s="23">
        <f>+D685*F685</f>
        <v/>
      </c>
    </row>
    <row r="686">
      <c r="A686" s="8" t="n"/>
      <c r="B686" s="8" t="n"/>
      <c r="C686" s="21" t="n"/>
      <c r="D686" s="22" t="n"/>
      <c r="E686" s="22">
        <f>IFERROR(+VLOOKUP(C686,Master!B:C,2,0),"")</f>
        <v/>
      </c>
      <c r="F686" s="23">
        <f>LOOKUP(2,1/((Purchase!$D$1:$D$500=C686)*(Purchase!$A$1:$A$500&lt;=A686)),Purchase!$G$1:$G$500)</f>
        <v/>
      </c>
      <c r="G686" s="23">
        <f>+D686*F686</f>
        <v/>
      </c>
    </row>
    <row r="687">
      <c r="A687" s="8" t="n"/>
      <c r="B687" s="8" t="n"/>
      <c r="C687" s="21" t="n"/>
      <c r="D687" s="22" t="n"/>
      <c r="E687" s="22">
        <f>IFERROR(+VLOOKUP(C687,Master!B:C,2,0),"")</f>
        <v/>
      </c>
      <c r="F687" s="23">
        <f>LOOKUP(2,1/((Purchase!$D$1:$D$500=C687)*(Purchase!$A$1:$A$500&lt;=A687)),Purchase!$G$1:$G$500)</f>
        <v/>
      </c>
      <c r="G687" s="23">
        <f>+D687*F687</f>
        <v/>
      </c>
    </row>
    <row r="688">
      <c r="A688" s="8" t="n"/>
      <c r="B688" s="8" t="n"/>
      <c r="C688" s="21" t="n"/>
      <c r="D688" s="22" t="n"/>
      <c r="E688" s="22">
        <f>IFERROR(+VLOOKUP(C688,Master!B:C,2,0),"")</f>
        <v/>
      </c>
      <c r="F688" s="23">
        <f>LOOKUP(2,1/((Purchase!$D$1:$D$500=C688)*(Purchase!$A$1:$A$500&lt;=A688)),Purchase!$G$1:$G$500)</f>
        <v/>
      </c>
      <c r="G688" s="23">
        <f>+D688*F688</f>
        <v/>
      </c>
    </row>
    <row r="689">
      <c r="A689" s="8" t="n"/>
      <c r="B689" s="8" t="n"/>
      <c r="C689" s="21" t="n"/>
      <c r="D689" s="22" t="n"/>
      <c r="E689" s="22">
        <f>IFERROR(+VLOOKUP(C689,Master!B:C,2,0),"")</f>
        <v/>
      </c>
      <c r="F689" s="23">
        <f>LOOKUP(2,1/((Purchase!$D$1:$D$500=C689)*(Purchase!$A$1:$A$500&lt;=A689)),Purchase!$G$1:$G$500)</f>
        <v/>
      </c>
      <c r="G689" s="23">
        <f>+D689*F689</f>
        <v/>
      </c>
    </row>
    <row r="690">
      <c r="A690" s="8" t="n"/>
      <c r="B690" s="8" t="n"/>
      <c r="C690" s="21" t="n"/>
      <c r="D690" s="22" t="n"/>
      <c r="E690" s="22">
        <f>IFERROR(+VLOOKUP(C690,Master!B:C,2,0),"")</f>
        <v/>
      </c>
      <c r="F690" s="23">
        <f>LOOKUP(2,1/((Purchase!$D$1:$D$500=C690)*(Purchase!$A$1:$A$500&lt;=A690)),Purchase!$G$1:$G$500)</f>
        <v/>
      </c>
      <c r="G690" s="23">
        <f>+D690*F690</f>
        <v/>
      </c>
    </row>
    <row r="691">
      <c r="A691" s="8" t="n"/>
      <c r="B691" s="8" t="n"/>
      <c r="C691" s="21" t="n"/>
      <c r="D691" s="22" t="n"/>
      <c r="E691" s="22">
        <f>IFERROR(+VLOOKUP(C691,Master!B:C,2,0),"")</f>
        <v/>
      </c>
      <c r="F691" s="23">
        <f>LOOKUP(2,1/((Purchase!$D$1:$D$500=C691)*(Purchase!$A$1:$A$500&lt;=A691)),Purchase!$G$1:$G$500)</f>
        <v/>
      </c>
      <c r="G691" s="23">
        <f>+D691*F691</f>
        <v/>
      </c>
    </row>
    <row r="692">
      <c r="A692" s="8" t="n"/>
      <c r="B692" s="8" t="n"/>
      <c r="C692" s="21" t="n"/>
      <c r="D692" s="22" t="n"/>
      <c r="E692" s="22">
        <f>IFERROR(+VLOOKUP(C692,Master!B:C,2,0),"")</f>
        <v/>
      </c>
      <c r="F692" s="23">
        <f>LOOKUP(2,1/((Purchase!$D$1:$D$500=C692)*(Purchase!$A$1:$A$500&lt;=A692)),Purchase!$G$1:$G$500)</f>
        <v/>
      </c>
      <c r="G692" s="23">
        <f>+D692*F692</f>
        <v/>
      </c>
    </row>
    <row r="693">
      <c r="A693" s="8" t="n"/>
      <c r="B693" s="8" t="n"/>
      <c r="C693" s="21" t="n"/>
      <c r="D693" s="22" t="n"/>
      <c r="E693" s="22">
        <f>IFERROR(+VLOOKUP(C693,Master!B:C,2,0),"")</f>
        <v/>
      </c>
      <c r="F693" s="23">
        <f>LOOKUP(2,1/((Purchase!$D$1:$D$500=C693)*(Purchase!$A$1:$A$500&lt;=A693)),Purchase!$G$1:$G$500)</f>
        <v/>
      </c>
      <c r="G693" s="23">
        <f>+D693*F693</f>
        <v/>
      </c>
    </row>
    <row r="694">
      <c r="A694" s="8" t="n"/>
      <c r="B694" s="8" t="n"/>
      <c r="C694" s="21" t="n"/>
      <c r="D694" s="22" t="n"/>
      <c r="E694" s="22">
        <f>IFERROR(+VLOOKUP(C694,Master!B:C,2,0),"")</f>
        <v/>
      </c>
      <c r="F694" s="23">
        <f>LOOKUP(2,1/((Purchase!$D$1:$D$500=C694)*(Purchase!$A$1:$A$500&lt;=A694)),Purchase!$G$1:$G$500)</f>
        <v/>
      </c>
      <c r="G694" s="23">
        <f>+D694*F694</f>
        <v/>
      </c>
    </row>
    <row r="695">
      <c r="A695" s="8" t="n"/>
      <c r="B695" s="8" t="n"/>
      <c r="C695" s="21" t="n"/>
      <c r="D695" s="22" t="n"/>
      <c r="E695" s="22">
        <f>IFERROR(+VLOOKUP(C695,Master!B:C,2,0),"")</f>
        <v/>
      </c>
      <c r="F695" s="23">
        <f>LOOKUP(2,1/((Purchase!$D$1:$D$500=C695)*(Purchase!$A$1:$A$500&lt;=A695)),Purchase!$G$1:$G$500)</f>
        <v/>
      </c>
      <c r="G695" s="23">
        <f>+D695*F695</f>
        <v/>
      </c>
    </row>
    <row r="696">
      <c r="A696" s="8" t="n"/>
      <c r="B696" s="8" t="n"/>
      <c r="C696" s="21" t="n"/>
      <c r="D696" s="22" t="n"/>
      <c r="E696" s="22">
        <f>IFERROR(+VLOOKUP(C696,Master!B:C,2,0),"")</f>
        <v/>
      </c>
      <c r="F696" s="23">
        <f>LOOKUP(2,1/((Purchase!$D$1:$D$500=C696)*(Purchase!$A$1:$A$500&lt;=A696)),Purchase!$G$1:$G$500)</f>
        <v/>
      </c>
      <c r="G696" s="23">
        <f>+D696*F696</f>
        <v/>
      </c>
    </row>
    <row r="697">
      <c r="A697" s="8" t="n"/>
      <c r="B697" s="8" t="n"/>
      <c r="C697" s="21" t="n"/>
      <c r="D697" s="22" t="n"/>
      <c r="E697" s="22">
        <f>IFERROR(+VLOOKUP(C697,Master!B:C,2,0),"")</f>
        <v/>
      </c>
      <c r="F697" s="23">
        <f>LOOKUP(2,1/((Purchase!$D$1:$D$500=C697)*(Purchase!$A$1:$A$500&lt;=A697)),Purchase!$G$1:$G$500)</f>
        <v/>
      </c>
      <c r="G697" s="23">
        <f>+D697*F697</f>
        <v/>
      </c>
    </row>
    <row r="698">
      <c r="A698" s="8" t="n"/>
      <c r="B698" s="8" t="n"/>
      <c r="C698" s="21" t="n"/>
      <c r="D698" s="22" t="n"/>
      <c r="E698" s="22">
        <f>IFERROR(+VLOOKUP(C698,Master!B:C,2,0),"")</f>
        <v/>
      </c>
      <c r="F698" s="23">
        <f>LOOKUP(2,1/((Purchase!$D$1:$D$500=C698)*(Purchase!$A$1:$A$500&lt;=A698)),Purchase!$G$1:$G$500)</f>
        <v/>
      </c>
      <c r="G698" s="23">
        <f>+D698*F698</f>
        <v/>
      </c>
    </row>
    <row r="699">
      <c r="A699" s="8" t="n"/>
      <c r="B699" s="8" t="n"/>
      <c r="C699" s="21" t="n"/>
      <c r="D699" s="22" t="n"/>
      <c r="E699" s="22">
        <f>IFERROR(+VLOOKUP(C699,Master!B:C,2,0),"")</f>
        <v/>
      </c>
      <c r="F699" s="23">
        <f>LOOKUP(2,1/((Purchase!$D$1:$D$500=C699)*(Purchase!$A$1:$A$500&lt;=A699)),Purchase!$G$1:$G$500)</f>
        <v/>
      </c>
      <c r="G699" s="23">
        <f>+D699*F699</f>
        <v/>
      </c>
    </row>
    <row r="700">
      <c r="A700" s="8" t="n"/>
      <c r="B700" s="8" t="n"/>
      <c r="C700" s="21" t="n"/>
      <c r="D700" s="22" t="n"/>
      <c r="E700" s="22">
        <f>IFERROR(+VLOOKUP(C700,Master!B:C,2,0),"")</f>
        <v/>
      </c>
      <c r="F700" s="23">
        <f>LOOKUP(2,1/((Purchase!$D$1:$D$500=C700)*(Purchase!$A$1:$A$500&lt;=A700)),Purchase!$G$1:$G$500)</f>
        <v/>
      </c>
      <c r="G700" s="23">
        <f>+D700*F700</f>
        <v/>
      </c>
    </row>
    <row r="701">
      <c r="A701" s="8" t="n"/>
      <c r="B701" s="8" t="n"/>
      <c r="C701" s="21" t="n"/>
      <c r="D701" s="22" t="n"/>
      <c r="E701" s="22">
        <f>IFERROR(+VLOOKUP(C701,Master!B:C,2,0),"")</f>
        <v/>
      </c>
      <c r="F701" s="23">
        <f>LOOKUP(2,1/((Purchase!$D$1:$D$500=C701)*(Purchase!$A$1:$A$500&lt;=A701)),Purchase!$G$1:$G$500)</f>
        <v/>
      </c>
      <c r="G701" s="23">
        <f>+D701*F701</f>
        <v/>
      </c>
    </row>
    <row r="702">
      <c r="A702" s="8" t="n"/>
      <c r="B702" s="8" t="n"/>
      <c r="C702" s="21" t="n"/>
      <c r="D702" s="22" t="n"/>
      <c r="E702" s="22">
        <f>IFERROR(+VLOOKUP(C702,Master!B:C,2,0),"")</f>
        <v/>
      </c>
      <c r="F702" s="23">
        <f>LOOKUP(2,1/((Purchase!$D$1:$D$500=C702)*(Purchase!$A$1:$A$500&lt;=A702)),Purchase!$G$1:$G$500)</f>
        <v/>
      </c>
      <c r="G702" s="23">
        <f>+D702*F702</f>
        <v/>
      </c>
    </row>
    <row r="703">
      <c r="A703" s="8" t="n"/>
      <c r="B703" s="8" t="n"/>
      <c r="C703" s="21" t="n"/>
      <c r="D703" s="22" t="n"/>
      <c r="E703" s="22">
        <f>IFERROR(+VLOOKUP(C703,Master!B:C,2,0),"")</f>
        <v/>
      </c>
      <c r="F703" s="23">
        <f>LOOKUP(2,1/((Purchase!$D$1:$D$500=C703)*(Purchase!$A$1:$A$500&lt;=A703)),Purchase!$G$1:$G$500)</f>
        <v/>
      </c>
      <c r="G703" s="23">
        <f>+D703*F703</f>
        <v/>
      </c>
    </row>
    <row r="704">
      <c r="A704" s="8" t="n"/>
      <c r="B704" s="8" t="n"/>
      <c r="C704" s="21" t="n"/>
      <c r="D704" s="22" t="n"/>
      <c r="E704" s="22">
        <f>IFERROR(+VLOOKUP(C704,Master!B:C,2,0),"")</f>
        <v/>
      </c>
      <c r="F704" s="23">
        <f>LOOKUP(2,1/((Purchase!$D$1:$D$500=C704)*(Purchase!$A$1:$A$500&lt;=A704)),Purchase!$G$1:$G$500)</f>
        <v/>
      </c>
      <c r="G704" s="23">
        <f>+D704*F704</f>
        <v/>
      </c>
    </row>
    <row r="705">
      <c r="A705" s="8" t="n"/>
      <c r="B705" s="8" t="n"/>
      <c r="C705" s="21" t="n"/>
      <c r="D705" s="22" t="n"/>
      <c r="E705" s="22">
        <f>IFERROR(+VLOOKUP(C705,Master!B:C,2,0),"")</f>
        <v/>
      </c>
      <c r="F705" s="23">
        <f>LOOKUP(2,1/((Purchase!$D$1:$D$500=C705)*(Purchase!$A$1:$A$500&lt;=A705)),Purchase!$G$1:$G$500)</f>
        <v/>
      </c>
      <c r="G705" s="23">
        <f>+D705*F705</f>
        <v/>
      </c>
    </row>
    <row r="706">
      <c r="A706" s="8" t="n"/>
      <c r="B706" s="8" t="n"/>
      <c r="C706" s="21" t="n"/>
      <c r="D706" s="22" t="n"/>
      <c r="E706" s="22">
        <f>IFERROR(+VLOOKUP(C706,Master!B:C,2,0),"")</f>
        <v/>
      </c>
      <c r="F706" s="23">
        <f>LOOKUP(2,1/((Purchase!$D$1:$D$500=C706)*(Purchase!$A$1:$A$500&lt;=A706)),Purchase!$G$1:$G$500)</f>
        <v/>
      </c>
      <c r="G706" s="23">
        <f>+D706*F706</f>
        <v/>
      </c>
    </row>
    <row r="707">
      <c r="A707" s="8" t="n"/>
      <c r="B707" s="8" t="n"/>
      <c r="C707" s="21" t="n"/>
      <c r="D707" s="22" t="n"/>
      <c r="E707" s="22">
        <f>IFERROR(+VLOOKUP(C707,Master!B:C,2,0),"")</f>
        <v/>
      </c>
      <c r="F707" s="23">
        <f>LOOKUP(2,1/((Purchase!$D$1:$D$500=C707)*(Purchase!$A$1:$A$500&lt;=A707)),Purchase!$G$1:$G$500)</f>
        <v/>
      </c>
      <c r="G707" s="23">
        <f>+D707*F707</f>
        <v/>
      </c>
    </row>
    <row r="708">
      <c r="A708" s="8" t="n"/>
      <c r="B708" s="8" t="n"/>
      <c r="C708" s="21" t="n"/>
      <c r="D708" s="22" t="n"/>
      <c r="E708" s="22">
        <f>IFERROR(+VLOOKUP(C708,Master!B:C,2,0),"")</f>
        <v/>
      </c>
      <c r="F708" s="23">
        <f>LOOKUP(2,1/((Purchase!$D$1:$D$500=C708)*(Purchase!$A$1:$A$500&lt;=A708)),Purchase!$G$1:$G$500)</f>
        <v/>
      </c>
      <c r="G708" s="23">
        <f>+D708*F708</f>
        <v/>
      </c>
    </row>
    <row r="709">
      <c r="A709" s="8" t="n"/>
      <c r="B709" s="8" t="n"/>
      <c r="C709" s="21" t="n"/>
      <c r="D709" s="22" t="n"/>
      <c r="E709" s="22">
        <f>IFERROR(+VLOOKUP(C709,Master!B:C,2,0),"")</f>
        <v/>
      </c>
      <c r="F709" s="23">
        <f>LOOKUP(2,1/((Purchase!$D$1:$D$500=C709)*(Purchase!$A$1:$A$500&lt;=A709)),Purchase!$G$1:$G$500)</f>
        <v/>
      </c>
      <c r="G709" s="23">
        <f>+D709*F709</f>
        <v/>
      </c>
    </row>
    <row r="710">
      <c r="A710" s="8" t="n"/>
      <c r="B710" s="8" t="n"/>
      <c r="C710" s="21" t="n"/>
      <c r="D710" s="22" t="n"/>
      <c r="E710" s="22">
        <f>IFERROR(+VLOOKUP(C710,Master!B:C,2,0),"")</f>
        <v/>
      </c>
      <c r="F710" s="23">
        <f>LOOKUP(2,1/((Purchase!$D$1:$D$500=C710)*(Purchase!$A$1:$A$500&lt;=A710)),Purchase!$G$1:$G$500)</f>
        <v/>
      </c>
      <c r="G710" s="23">
        <f>+D710*F710</f>
        <v/>
      </c>
    </row>
    <row r="711">
      <c r="A711" s="8" t="n"/>
      <c r="B711" s="8" t="n"/>
      <c r="C711" s="21" t="n"/>
      <c r="D711" s="22" t="n"/>
      <c r="E711" s="22">
        <f>IFERROR(+VLOOKUP(C711,Master!B:C,2,0),"")</f>
        <v/>
      </c>
      <c r="F711" s="23">
        <f>LOOKUP(2,1/((Purchase!$D$1:$D$500=C711)*(Purchase!$A$1:$A$500&lt;=A711)),Purchase!$G$1:$G$500)</f>
        <v/>
      </c>
      <c r="G711" s="23">
        <f>+D711*F711</f>
        <v/>
      </c>
    </row>
    <row r="712">
      <c r="A712" s="8" t="n"/>
      <c r="B712" s="8" t="n"/>
      <c r="C712" s="21" t="n"/>
      <c r="D712" s="22" t="n"/>
      <c r="E712" s="22">
        <f>IFERROR(+VLOOKUP(C712,Master!B:C,2,0),"")</f>
        <v/>
      </c>
      <c r="F712" s="23">
        <f>LOOKUP(2,1/((Purchase!$D$1:$D$500=C712)*(Purchase!$A$1:$A$500&lt;=A712)),Purchase!$G$1:$G$500)</f>
        <v/>
      </c>
      <c r="G712" s="23">
        <f>+D712*F712</f>
        <v/>
      </c>
    </row>
    <row r="713">
      <c r="A713" s="8" t="n"/>
      <c r="B713" s="8" t="n"/>
      <c r="C713" s="21" t="n"/>
      <c r="D713" s="22" t="n"/>
      <c r="E713" s="22">
        <f>IFERROR(+VLOOKUP(C713,Master!B:C,2,0),"")</f>
        <v/>
      </c>
      <c r="F713" s="23">
        <f>LOOKUP(2,1/((Purchase!$D$1:$D$500=C713)*(Purchase!$A$1:$A$500&lt;=A713)),Purchase!$G$1:$G$500)</f>
        <v/>
      </c>
      <c r="G713" s="23">
        <f>+D713*F713</f>
        <v/>
      </c>
    </row>
    <row r="714">
      <c r="A714" s="8" t="n"/>
      <c r="B714" s="8" t="n"/>
      <c r="C714" s="21" t="n"/>
      <c r="D714" s="22" t="n"/>
      <c r="E714" s="22">
        <f>IFERROR(+VLOOKUP(C714,Master!B:C,2,0),"")</f>
        <v/>
      </c>
      <c r="F714" s="23">
        <f>LOOKUP(2,1/((Purchase!$D$1:$D$500=C714)*(Purchase!$A$1:$A$500&lt;=A714)),Purchase!$G$1:$G$500)</f>
        <v/>
      </c>
      <c r="G714" s="23">
        <f>+D714*F714</f>
        <v/>
      </c>
    </row>
    <row r="715">
      <c r="A715" s="8" t="n"/>
      <c r="B715" s="8" t="n"/>
      <c r="C715" s="21" t="n"/>
      <c r="D715" s="22" t="n"/>
      <c r="E715" s="22">
        <f>IFERROR(+VLOOKUP(C715,Master!B:C,2,0),"")</f>
        <v/>
      </c>
      <c r="F715" s="23">
        <f>LOOKUP(2,1/((Purchase!$D$1:$D$500=C715)*(Purchase!$A$1:$A$500&lt;=A715)),Purchase!$G$1:$G$500)</f>
        <v/>
      </c>
      <c r="G715" s="23">
        <f>+D715*F715</f>
        <v/>
      </c>
    </row>
    <row r="716">
      <c r="A716" s="8" t="n"/>
      <c r="B716" s="8" t="n"/>
      <c r="C716" s="21" t="n"/>
      <c r="D716" s="22" t="n"/>
      <c r="E716" s="22">
        <f>IFERROR(+VLOOKUP(C716,Master!B:C,2,0),"")</f>
        <v/>
      </c>
      <c r="F716" s="23">
        <f>LOOKUP(2,1/((Purchase!$D$1:$D$500=C716)*(Purchase!$A$1:$A$500&lt;=A716)),Purchase!$G$1:$G$500)</f>
        <v/>
      </c>
      <c r="G716" s="23">
        <f>+D716*F716</f>
        <v/>
      </c>
    </row>
    <row r="717">
      <c r="A717" s="8" t="n"/>
      <c r="B717" s="8" t="n"/>
      <c r="C717" s="21" t="n"/>
      <c r="D717" s="22" t="n"/>
      <c r="E717" s="22">
        <f>IFERROR(+VLOOKUP(C717,Master!B:C,2,0),"")</f>
        <v/>
      </c>
      <c r="F717" s="23">
        <f>LOOKUP(2,1/((Purchase!$D$1:$D$500=C717)*(Purchase!$A$1:$A$500&lt;=A717)),Purchase!$G$1:$G$500)</f>
        <v/>
      </c>
      <c r="G717" s="23">
        <f>+D717*F717</f>
        <v/>
      </c>
    </row>
    <row r="718">
      <c r="A718" s="8" t="n"/>
      <c r="B718" s="8" t="n"/>
      <c r="C718" s="21" t="n"/>
      <c r="D718" s="22" t="n"/>
      <c r="E718" s="22">
        <f>IFERROR(+VLOOKUP(C718,Master!B:C,2,0),"")</f>
        <v/>
      </c>
      <c r="F718" s="23">
        <f>LOOKUP(2,1/((Purchase!$D$1:$D$500=C718)*(Purchase!$A$1:$A$500&lt;=A718)),Purchase!$G$1:$G$500)</f>
        <v/>
      </c>
      <c r="G718" s="23">
        <f>+D718*F718</f>
        <v/>
      </c>
    </row>
    <row r="719">
      <c r="A719" s="8" t="n"/>
      <c r="B719" s="8" t="n"/>
      <c r="C719" s="21" t="n"/>
      <c r="D719" s="22" t="n"/>
      <c r="E719" s="22">
        <f>IFERROR(+VLOOKUP(C719,Master!B:C,2,0),"")</f>
        <v/>
      </c>
      <c r="F719" s="23">
        <f>LOOKUP(2,1/((Purchase!$D$1:$D$500=C719)*(Purchase!$A$1:$A$500&lt;=A719)),Purchase!$G$1:$G$500)</f>
        <v/>
      </c>
      <c r="G719" s="23">
        <f>+D719*F719</f>
        <v/>
      </c>
    </row>
    <row r="720">
      <c r="A720" s="8" t="n"/>
      <c r="B720" s="8" t="n"/>
      <c r="C720" s="21" t="n"/>
      <c r="D720" s="22" t="n"/>
      <c r="E720" s="22">
        <f>IFERROR(+VLOOKUP(C720,Master!B:C,2,0),"")</f>
        <v/>
      </c>
      <c r="F720" s="23">
        <f>LOOKUP(2,1/((Purchase!$D$1:$D$500=C720)*(Purchase!$A$1:$A$500&lt;=A720)),Purchase!$G$1:$G$500)</f>
        <v/>
      </c>
      <c r="G720" s="23">
        <f>+D720*F720</f>
        <v/>
      </c>
    </row>
    <row r="721">
      <c r="A721" s="8" t="n"/>
      <c r="B721" s="8" t="n"/>
      <c r="C721" s="21" t="n"/>
      <c r="D721" s="22" t="n"/>
      <c r="E721" s="22">
        <f>IFERROR(+VLOOKUP(C721,Master!B:C,2,0),"")</f>
        <v/>
      </c>
      <c r="F721" s="23">
        <f>LOOKUP(2,1/((Purchase!$D$1:$D$500=C721)*(Purchase!$A$1:$A$500&lt;=A721)),Purchase!$G$1:$G$500)</f>
        <v/>
      </c>
      <c r="G721" s="23">
        <f>+D721*F721</f>
        <v/>
      </c>
    </row>
    <row r="722">
      <c r="A722" s="8" t="n"/>
      <c r="B722" s="8" t="n"/>
      <c r="C722" s="21" t="n"/>
      <c r="D722" s="22" t="n"/>
      <c r="E722" s="22">
        <f>IFERROR(+VLOOKUP(C722,Master!B:C,2,0),"")</f>
        <v/>
      </c>
      <c r="F722" s="23">
        <f>LOOKUP(2,1/((Purchase!$D$1:$D$500=C722)*(Purchase!$A$1:$A$500&lt;=A722)),Purchase!$G$1:$G$500)</f>
        <v/>
      </c>
      <c r="G722" s="23">
        <f>+D722*F722</f>
        <v/>
      </c>
    </row>
    <row r="723">
      <c r="A723" s="8" t="n"/>
      <c r="B723" s="8" t="n"/>
      <c r="C723" s="21" t="n"/>
      <c r="D723" s="22" t="n"/>
      <c r="E723" s="22">
        <f>IFERROR(+VLOOKUP(C723,Master!B:C,2,0),"")</f>
        <v/>
      </c>
      <c r="F723" s="23">
        <f>LOOKUP(2,1/((Purchase!$D$1:$D$500=C723)*(Purchase!$A$1:$A$500&lt;=A723)),Purchase!$G$1:$G$500)</f>
        <v/>
      </c>
      <c r="G723" s="23">
        <f>+D723*F723</f>
        <v/>
      </c>
    </row>
    <row r="724">
      <c r="A724" s="8" t="n"/>
      <c r="B724" s="8" t="n"/>
      <c r="C724" s="21" t="n"/>
      <c r="D724" s="22" t="n"/>
      <c r="E724" s="22">
        <f>IFERROR(+VLOOKUP(C724,Master!B:C,2,0),"")</f>
        <v/>
      </c>
      <c r="F724" s="23">
        <f>LOOKUP(2,1/((Purchase!$D$1:$D$500=C724)*(Purchase!$A$1:$A$500&lt;=A724)),Purchase!$G$1:$G$500)</f>
        <v/>
      </c>
      <c r="G724" s="23">
        <f>+D724*F724</f>
        <v/>
      </c>
    </row>
    <row r="725">
      <c r="A725" s="8" t="n"/>
      <c r="B725" s="8" t="n"/>
      <c r="C725" s="21" t="n"/>
      <c r="D725" s="22" t="n"/>
      <c r="E725" s="22">
        <f>IFERROR(+VLOOKUP(C725,Master!B:C,2,0),"")</f>
        <v/>
      </c>
      <c r="F725" s="23">
        <f>LOOKUP(2,1/((Purchase!$D$1:$D$500=C725)*(Purchase!$A$1:$A$500&lt;=A725)),Purchase!$G$1:$G$500)</f>
        <v/>
      </c>
      <c r="G725" s="23">
        <f>+D725*F725</f>
        <v/>
      </c>
    </row>
    <row r="726">
      <c r="A726" s="8" t="n"/>
      <c r="B726" s="8" t="n"/>
      <c r="C726" s="21" t="n"/>
      <c r="D726" s="22" t="n"/>
      <c r="E726" s="22">
        <f>IFERROR(+VLOOKUP(C726,Master!B:C,2,0),"")</f>
        <v/>
      </c>
      <c r="F726" s="23">
        <f>LOOKUP(2,1/((Purchase!$D$1:$D$500=C726)*(Purchase!$A$1:$A$500&lt;=A726)),Purchase!$G$1:$G$500)</f>
        <v/>
      </c>
      <c r="G726" s="23">
        <f>+D726*F726</f>
        <v/>
      </c>
    </row>
    <row r="727">
      <c r="A727" s="8" t="n"/>
      <c r="B727" s="8" t="n"/>
      <c r="C727" s="21" t="n"/>
      <c r="D727" s="22" t="n"/>
      <c r="E727" s="22">
        <f>IFERROR(+VLOOKUP(C727,Master!B:C,2,0),"")</f>
        <v/>
      </c>
      <c r="F727" s="23">
        <f>LOOKUP(2,1/((Purchase!$D$1:$D$500=C727)*(Purchase!$A$1:$A$500&lt;=A727)),Purchase!$G$1:$G$500)</f>
        <v/>
      </c>
      <c r="G727" s="23">
        <f>+D727*F727</f>
        <v/>
      </c>
    </row>
    <row r="728">
      <c r="A728" s="8" t="n"/>
      <c r="B728" s="8" t="n"/>
      <c r="C728" s="21" t="n"/>
      <c r="D728" s="22" t="n"/>
      <c r="E728" s="22">
        <f>IFERROR(+VLOOKUP(C728,Master!B:C,2,0),"")</f>
        <v/>
      </c>
      <c r="F728" s="23">
        <f>LOOKUP(2,1/((Purchase!$D$1:$D$500=C728)*(Purchase!$A$1:$A$500&lt;=A728)),Purchase!$G$1:$G$500)</f>
        <v/>
      </c>
      <c r="G728" s="23">
        <f>+D728*F728</f>
        <v/>
      </c>
    </row>
    <row r="729">
      <c r="A729" s="8" t="n"/>
      <c r="B729" s="8" t="n"/>
      <c r="C729" s="21" t="n"/>
      <c r="D729" s="22" t="n"/>
      <c r="E729" s="22">
        <f>IFERROR(+VLOOKUP(C729,Master!B:C,2,0),"")</f>
        <v/>
      </c>
      <c r="F729" s="23">
        <f>LOOKUP(2,1/((Purchase!$D$1:$D$500=C729)*(Purchase!$A$1:$A$500&lt;=A729)),Purchase!$G$1:$G$500)</f>
        <v/>
      </c>
      <c r="G729" s="23">
        <f>+D729*F729</f>
        <v/>
      </c>
    </row>
    <row r="730">
      <c r="A730" s="8" t="n"/>
      <c r="B730" s="8" t="n"/>
      <c r="C730" s="21" t="n"/>
      <c r="D730" s="22" t="n"/>
      <c r="E730" s="22">
        <f>IFERROR(+VLOOKUP(C730,Master!B:C,2,0),"")</f>
        <v/>
      </c>
      <c r="F730" s="23">
        <f>LOOKUP(2,1/((Purchase!$D$1:$D$500=C730)*(Purchase!$A$1:$A$500&lt;=A730)),Purchase!$G$1:$G$500)</f>
        <v/>
      </c>
      <c r="G730" s="23">
        <f>+D730*F730</f>
        <v/>
      </c>
    </row>
    <row r="731">
      <c r="A731" s="8" t="n"/>
      <c r="B731" s="8" t="n"/>
      <c r="C731" s="21" t="n"/>
      <c r="D731" s="22" t="n"/>
      <c r="E731" s="22">
        <f>IFERROR(+VLOOKUP(C731,Master!B:C,2,0),"")</f>
        <v/>
      </c>
      <c r="F731" s="23">
        <f>LOOKUP(2,1/((Purchase!$D$1:$D$500=C731)*(Purchase!$A$1:$A$500&lt;=A731)),Purchase!$G$1:$G$500)</f>
        <v/>
      </c>
      <c r="G731" s="23">
        <f>+D731*F731</f>
        <v/>
      </c>
    </row>
    <row r="732">
      <c r="A732" s="8" t="n"/>
      <c r="B732" s="8" t="n"/>
      <c r="C732" s="21" t="n"/>
      <c r="D732" s="22" t="n"/>
      <c r="E732" s="22">
        <f>IFERROR(+VLOOKUP(C732,Master!B:C,2,0),"")</f>
        <v/>
      </c>
      <c r="F732" s="23">
        <f>LOOKUP(2,1/((Purchase!$D$1:$D$500=C732)*(Purchase!$A$1:$A$500&lt;=A732)),Purchase!$G$1:$G$500)</f>
        <v/>
      </c>
      <c r="G732" s="23">
        <f>+D732*F732</f>
        <v/>
      </c>
    </row>
    <row r="733">
      <c r="A733" s="8" t="n"/>
      <c r="B733" s="8" t="n"/>
      <c r="C733" s="21" t="n"/>
      <c r="D733" s="22" t="n"/>
      <c r="E733" s="22">
        <f>IFERROR(+VLOOKUP(C733,Master!B:C,2,0),"")</f>
        <v/>
      </c>
      <c r="F733" s="23">
        <f>LOOKUP(2,1/((Purchase!$D$1:$D$500=C733)*(Purchase!$A$1:$A$500&lt;=A733)),Purchase!$G$1:$G$500)</f>
        <v/>
      </c>
      <c r="G733" s="23">
        <f>+D733*F733</f>
        <v/>
      </c>
    </row>
    <row r="734">
      <c r="A734" s="8" t="n"/>
      <c r="B734" s="8" t="n"/>
      <c r="C734" s="21" t="n"/>
      <c r="D734" s="22" t="n"/>
      <c r="E734" s="22">
        <f>IFERROR(+VLOOKUP(C734,Master!B:C,2,0),"")</f>
        <v/>
      </c>
      <c r="F734" s="23">
        <f>LOOKUP(2,1/((Purchase!$D$1:$D$500=C734)*(Purchase!$A$1:$A$500&lt;=A734)),Purchase!$G$1:$G$500)</f>
        <v/>
      </c>
      <c r="G734" s="23">
        <f>+D734*F734</f>
        <v/>
      </c>
    </row>
    <row r="735">
      <c r="A735" s="8" t="n"/>
      <c r="B735" s="8" t="n"/>
      <c r="C735" s="21" t="n"/>
      <c r="D735" s="22" t="n"/>
      <c r="E735" s="22">
        <f>IFERROR(+VLOOKUP(C735,Master!B:C,2,0),"")</f>
        <v/>
      </c>
      <c r="F735" s="23">
        <f>LOOKUP(2,1/((Purchase!$D$1:$D$500=C735)*(Purchase!$A$1:$A$500&lt;=A735)),Purchase!$G$1:$G$500)</f>
        <v/>
      </c>
      <c r="G735" s="23">
        <f>+D735*F735</f>
        <v/>
      </c>
    </row>
    <row r="736">
      <c r="A736" s="8" t="n"/>
      <c r="B736" s="8" t="n"/>
      <c r="C736" s="21" t="n"/>
      <c r="D736" s="22" t="n"/>
      <c r="E736" s="22">
        <f>IFERROR(+VLOOKUP(C736,Master!B:C,2,0),"")</f>
        <v/>
      </c>
      <c r="F736" s="23">
        <f>LOOKUP(2,1/((Purchase!$D$1:$D$500=C736)*(Purchase!$A$1:$A$500&lt;=A736)),Purchase!$G$1:$G$500)</f>
        <v/>
      </c>
      <c r="G736" s="23">
        <f>+D736*F736</f>
        <v/>
      </c>
    </row>
    <row r="737">
      <c r="A737" s="8" t="n"/>
      <c r="B737" s="8" t="n"/>
      <c r="C737" s="21" t="n"/>
      <c r="D737" s="22" t="n"/>
      <c r="E737" s="22">
        <f>IFERROR(+VLOOKUP(C737,Master!B:C,2,0),"")</f>
        <v/>
      </c>
      <c r="F737" s="23">
        <f>LOOKUP(2,1/((Purchase!$D$1:$D$500=C737)*(Purchase!$A$1:$A$500&lt;=A737)),Purchase!$G$1:$G$500)</f>
        <v/>
      </c>
      <c r="G737" s="23">
        <f>+D737*F737</f>
        <v/>
      </c>
    </row>
    <row r="738">
      <c r="A738" s="8" t="n"/>
      <c r="B738" s="8" t="n"/>
      <c r="C738" s="21" t="n"/>
      <c r="D738" s="22" t="n"/>
      <c r="E738" s="22">
        <f>IFERROR(+VLOOKUP(C738,Master!B:C,2,0),"")</f>
        <v/>
      </c>
      <c r="F738" s="23">
        <f>LOOKUP(2,1/((Purchase!$D$1:$D$500=C738)*(Purchase!$A$1:$A$500&lt;=A738)),Purchase!$G$1:$G$500)</f>
        <v/>
      </c>
      <c r="G738" s="23">
        <f>+D738*F738</f>
        <v/>
      </c>
    </row>
    <row r="739">
      <c r="A739" s="8" t="n"/>
      <c r="B739" s="8" t="n"/>
      <c r="C739" s="21" t="n"/>
      <c r="D739" s="22" t="n"/>
      <c r="E739" s="22">
        <f>IFERROR(+VLOOKUP(C739,Master!B:C,2,0),"")</f>
        <v/>
      </c>
      <c r="F739" s="23">
        <f>LOOKUP(2,1/((Purchase!$D$1:$D$500=C739)*(Purchase!$A$1:$A$500&lt;=A739)),Purchase!$G$1:$G$500)</f>
        <v/>
      </c>
      <c r="G739" s="23">
        <f>+D739*F739</f>
        <v/>
      </c>
    </row>
    <row r="740">
      <c r="A740" s="8" t="n"/>
      <c r="B740" s="8" t="n"/>
      <c r="C740" s="21" t="n"/>
      <c r="D740" s="22" t="n"/>
      <c r="E740" s="22">
        <f>IFERROR(+VLOOKUP(C740,Master!B:C,2,0),"")</f>
        <v/>
      </c>
      <c r="F740" s="23">
        <f>LOOKUP(2,1/((Purchase!$D$1:$D$500=C740)*(Purchase!$A$1:$A$500&lt;=A740)),Purchase!$G$1:$G$500)</f>
        <v/>
      </c>
      <c r="G740" s="23">
        <f>+D740*F740</f>
        <v/>
      </c>
    </row>
    <row r="741">
      <c r="A741" s="8" t="n"/>
      <c r="B741" s="8" t="n"/>
      <c r="C741" s="21" t="n"/>
      <c r="D741" s="22" t="n"/>
      <c r="E741" s="22">
        <f>IFERROR(+VLOOKUP(C741,Master!B:C,2,0),"")</f>
        <v/>
      </c>
      <c r="F741" s="23">
        <f>LOOKUP(2,1/((Purchase!$D$1:$D$500=C741)*(Purchase!$A$1:$A$500&lt;=A741)),Purchase!$G$1:$G$500)</f>
        <v/>
      </c>
      <c r="G741" s="23">
        <f>+D741*F741</f>
        <v/>
      </c>
    </row>
    <row r="742">
      <c r="A742" s="8" t="n"/>
      <c r="B742" s="8" t="n"/>
      <c r="C742" s="21" t="n"/>
      <c r="D742" s="22" t="n"/>
      <c r="E742" s="22">
        <f>IFERROR(+VLOOKUP(C742,Master!B:C,2,0),"")</f>
        <v/>
      </c>
      <c r="F742" s="23">
        <f>LOOKUP(2,1/((Purchase!$D$1:$D$500=C742)*(Purchase!$A$1:$A$500&lt;=A742)),Purchase!$G$1:$G$500)</f>
        <v/>
      </c>
      <c r="G742" s="23">
        <f>+D742*F742</f>
        <v/>
      </c>
    </row>
    <row r="743">
      <c r="A743" s="8" t="n"/>
      <c r="B743" s="8" t="n"/>
      <c r="C743" s="21" t="n"/>
      <c r="D743" s="22" t="n"/>
      <c r="E743" s="22">
        <f>IFERROR(+VLOOKUP(C743,Master!B:C,2,0),"")</f>
        <v/>
      </c>
      <c r="F743" s="23">
        <f>LOOKUP(2,1/((Purchase!$D$1:$D$500=C743)*(Purchase!$A$1:$A$500&lt;=A743)),Purchase!$G$1:$G$500)</f>
        <v/>
      </c>
      <c r="G743" s="23">
        <f>+D743*F743</f>
        <v/>
      </c>
    </row>
    <row r="744">
      <c r="A744" s="8" t="n"/>
      <c r="B744" s="8" t="n"/>
      <c r="C744" s="21" t="n"/>
      <c r="D744" s="22" t="n"/>
      <c r="E744" s="22">
        <f>IFERROR(+VLOOKUP(C744,Master!B:C,2,0),"")</f>
        <v/>
      </c>
      <c r="F744" s="23">
        <f>LOOKUP(2,1/((Purchase!$D$1:$D$500=C744)*(Purchase!$A$1:$A$500&lt;=A744)),Purchase!$G$1:$G$500)</f>
        <v/>
      </c>
      <c r="G744" s="23">
        <f>+D744*F744</f>
        <v/>
      </c>
    </row>
    <row r="745">
      <c r="A745" s="8" t="n"/>
      <c r="B745" s="8" t="n"/>
      <c r="C745" s="21" t="n"/>
      <c r="D745" s="22" t="n"/>
      <c r="E745" s="22">
        <f>IFERROR(+VLOOKUP(C745,Master!B:C,2,0),"")</f>
        <v/>
      </c>
      <c r="F745" s="23">
        <f>LOOKUP(2,1/((Purchase!$D$1:$D$500=C745)*(Purchase!$A$1:$A$500&lt;=A745)),Purchase!$G$1:$G$500)</f>
        <v/>
      </c>
      <c r="G745" s="23">
        <f>+D745*F745</f>
        <v/>
      </c>
    </row>
    <row r="746">
      <c r="A746" s="8" t="n"/>
      <c r="B746" s="8" t="n"/>
      <c r="C746" s="21" t="n"/>
      <c r="D746" s="22" t="n"/>
      <c r="E746" s="22">
        <f>IFERROR(+VLOOKUP(C746,Master!B:C,2,0),"")</f>
        <v/>
      </c>
      <c r="F746" s="23">
        <f>LOOKUP(2,1/((Purchase!$D$1:$D$500=C746)*(Purchase!$A$1:$A$500&lt;=A746)),Purchase!$G$1:$G$500)</f>
        <v/>
      </c>
      <c r="G746" s="23">
        <f>+D746*F746</f>
        <v/>
      </c>
    </row>
    <row r="747">
      <c r="A747" s="8" t="n"/>
      <c r="B747" s="8" t="n"/>
      <c r="C747" s="21" t="n"/>
      <c r="D747" s="22" t="n"/>
      <c r="E747" s="22">
        <f>IFERROR(+VLOOKUP(C747,Master!B:C,2,0),"")</f>
        <v/>
      </c>
      <c r="F747" s="23">
        <f>LOOKUP(2,1/((Purchase!$D$1:$D$500=C747)*(Purchase!$A$1:$A$500&lt;=A747)),Purchase!$G$1:$G$500)</f>
        <v/>
      </c>
      <c r="G747" s="23">
        <f>+D747*F747</f>
        <v/>
      </c>
    </row>
    <row r="748">
      <c r="A748" s="8" t="n"/>
      <c r="B748" s="8" t="n"/>
      <c r="C748" s="21" t="n"/>
      <c r="D748" s="22" t="n"/>
      <c r="E748" s="22">
        <f>IFERROR(+VLOOKUP(C748,Master!B:C,2,0),"")</f>
        <v/>
      </c>
      <c r="F748" s="23">
        <f>LOOKUP(2,1/((Purchase!$D$1:$D$500=C748)*(Purchase!$A$1:$A$500&lt;=A748)),Purchase!$G$1:$G$500)</f>
        <v/>
      </c>
      <c r="G748" s="23">
        <f>+D748*F748</f>
        <v/>
      </c>
    </row>
    <row r="749">
      <c r="A749" s="8" t="n"/>
      <c r="B749" s="8" t="n"/>
      <c r="C749" s="21" t="n"/>
      <c r="D749" s="22" t="n"/>
      <c r="E749" s="22">
        <f>IFERROR(+VLOOKUP(C749,Master!B:C,2,0),"")</f>
        <v/>
      </c>
      <c r="F749" s="23">
        <f>LOOKUP(2,1/((Purchase!$D$1:$D$500=C749)*(Purchase!$A$1:$A$500&lt;=A749)),Purchase!$G$1:$G$500)</f>
        <v/>
      </c>
      <c r="G749" s="23">
        <f>+D749*F749</f>
        <v/>
      </c>
    </row>
    <row r="750">
      <c r="A750" s="8" t="n"/>
      <c r="B750" s="8" t="n"/>
      <c r="C750" s="21" t="n"/>
      <c r="D750" s="22" t="n"/>
      <c r="E750" s="22">
        <f>IFERROR(+VLOOKUP(C750,Master!B:C,2,0),"")</f>
        <v/>
      </c>
      <c r="F750" s="23">
        <f>LOOKUP(2,1/((Purchase!$D$1:$D$500=C750)*(Purchase!$A$1:$A$500&lt;=A750)),Purchase!$G$1:$G$500)</f>
        <v/>
      </c>
      <c r="G750" s="23">
        <f>+D750*F750</f>
        <v/>
      </c>
    </row>
    <row r="751">
      <c r="A751" s="8" t="n"/>
      <c r="B751" s="8" t="n"/>
      <c r="C751" s="21" t="n"/>
      <c r="D751" s="22" t="n"/>
      <c r="E751" s="22">
        <f>IFERROR(+VLOOKUP(C751,Master!B:C,2,0),"")</f>
        <v/>
      </c>
      <c r="F751" s="23">
        <f>LOOKUP(2,1/((Purchase!$D$1:$D$500=C751)*(Purchase!$A$1:$A$500&lt;=A751)),Purchase!$G$1:$G$500)</f>
        <v/>
      </c>
      <c r="G751" s="23">
        <f>+D751*F751</f>
        <v/>
      </c>
    </row>
    <row r="752">
      <c r="A752" s="8" t="n"/>
      <c r="B752" s="8" t="n"/>
      <c r="C752" s="21" t="n"/>
      <c r="D752" s="22" t="n"/>
      <c r="E752" s="22">
        <f>IFERROR(+VLOOKUP(C752,Master!B:C,2,0),"")</f>
        <v/>
      </c>
      <c r="F752" s="23">
        <f>LOOKUP(2,1/((Purchase!$D$1:$D$500=C752)*(Purchase!$A$1:$A$500&lt;=A752)),Purchase!$G$1:$G$500)</f>
        <v/>
      </c>
      <c r="G752" s="23">
        <f>+D752*F752</f>
        <v/>
      </c>
    </row>
    <row r="753">
      <c r="A753" s="8" t="n"/>
      <c r="B753" s="8" t="n"/>
      <c r="C753" s="21" t="n"/>
      <c r="D753" s="22" t="n"/>
      <c r="E753" s="22">
        <f>IFERROR(+VLOOKUP(C753,Master!B:C,2,0),"")</f>
        <v/>
      </c>
      <c r="F753" s="23">
        <f>LOOKUP(2,1/((Purchase!$D$1:$D$500=C753)*(Purchase!$A$1:$A$500&lt;=A753)),Purchase!$G$1:$G$500)</f>
        <v/>
      </c>
      <c r="G753" s="23">
        <f>+D753*F753</f>
        <v/>
      </c>
    </row>
    <row r="754">
      <c r="A754" s="8" t="n"/>
      <c r="B754" s="8" t="n"/>
      <c r="C754" s="21" t="n"/>
      <c r="D754" s="22" t="n"/>
      <c r="E754" s="22">
        <f>IFERROR(+VLOOKUP(C754,Master!B:C,2,0),"")</f>
        <v/>
      </c>
      <c r="F754" s="23">
        <f>LOOKUP(2,1/((Purchase!$D$1:$D$500=C754)*(Purchase!$A$1:$A$500&lt;=A754)),Purchase!$G$1:$G$500)</f>
        <v/>
      </c>
      <c r="G754" s="23">
        <f>+D754*F754</f>
        <v/>
      </c>
    </row>
    <row r="755">
      <c r="A755" s="8" t="n"/>
      <c r="B755" s="8" t="n"/>
      <c r="C755" s="21" t="n"/>
      <c r="D755" s="22" t="n"/>
      <c r="E755" s="22">
        <f>IFERROR(+VLOOKUP(C755,Master!B:C,2,0),"")</f>
        <v/>
      </c>
      <c r="F755" s="23">
        <f>LOOKUP(2,1/((Purchase!$D$1:$D$500=C755)*(Purchase!$A$1:$A$500&lt;=A755)),Purchase!$G$1:$G$500)</f>
        <v/>
      </c>
      <c r="G755" s="23">
        <f>+D755*F755</f>
        <v/>
      </c>
    </row>
    <row r="756">
      <c r="A756" s="8" t="n"/>
      <c r="B756" s="8" t="n"/>
      <c r="C756" s="21" t="n"/>
      <c r="D756" s="22" t="n"/>
      <c r="E756" s="22">
        <f>IFERROR(+VLOOKUP(C756,Master!B:C,2,0),"")</f>
        <v/>
      </c>
      <c r="F756" s="23">
        <f>LOOKUP(2,1/((Purchase!$D$1:$D$500=C756)*(Purchase!$A$1:$A$500&lt;=A756)),Purchase!$G$1:$G$500)</f>
        <v/>
      </c>
      <c r="G756" s="23">
        <f>+D756*F756</f>
        <v/>
      </c>
    </row>
    <row r="757">
      <c r="A757" s="8" t="n"/>
      <c r="B757" s="8" t="n"/>
      <c r="C757" s="21" t="n"/>
      <c r="D757" s="22" t="n"/>
      <c r="E757" s="22">
        <f>IFERROR(+VLOOKUP(C757,Master!B:C,2,0),"")</f>
        <v/>
      </c>
      <c r="F757" s="23">
        <f>LOOKUP(2,1/((Purchase!$D$1:$D$500=C757)*(Purchase!$A$1:$A$500&lt;=A757)),Purchase!$G$1:$G$500)</f>
        <v/>
      </c>
      <c r="G757" s="23">
        <f>+D757*F757</f>
        <v/>
      </c>
    </row>
    <row r="758">
      <c r="A758" s="8" t="n"/>
      <c r="B758" s="8" t="n"/>
      <c r="C758" s="21" t="n"/>
      <c r="D758" s="22" t="n"/>
      <c r="E758" s="22">
        <f>IFERROR(+VLOOKUP(C758,Master!B:C,2,0),"")</f>
        <v/>
      </c>
      <c r="F758" s="23">
        <f>LOOKUP(2,1/((Purchase!$D$1:$D$500=C758)*(Purchase!$A$1:$A$500&lt;=A758)),Purchase!$G$1:$G$500)</f>
        <v/>
      </c>
      <c r="G758" s="23">
        <f>+D758*F758</f>
        <v/>
      </c>
    </row>
    <row r="759">
      <c r="A759" s="8" t="n"/>
      <c r="B759" s="8" t="n"/>
      <c r="C759" s="21" t="n"/>
      <c r="D759" s="22" t="n"/>
      <c r="E759" s="22">
        <f>IFERROR(+VLOOKUP(C759,Master!B:C,2,0),"")</f>
        <v/>
      </c>
      <c r="F759" s="23">
        <f>LOOKUP(2,1/((Purchase!$D$1:$D$500=C759)*(Purchase!$A$1:$A$500&lt;=A759)),Purchase!$G$1:$G$500)</f>
        <v/>
      </c>
      <c r="G759" s="23">
        <f>+D759*F759</f>
        <v/>
      </c>
    </row>
    <row r="760">
      <c r="A760" s="8" t="n"/>
      <c r="B760" s="8" t="n"/>
      <c r="C760" s="21" t="n"/>
      <c r="D760" s="22" t="n"/>
      <c r="E760" s="22">
        <f>IFERROR(+VLOOKUP(C760,Master!B:C,2,0),"")</f>
        <v/>
      </c>
      <c r="F760" s="23">
        <f>LOOKUP(2,1/((Purchase!$D$1:$D$500=C760)*(Purchase!$A$1:$A$500&lt;=A760)),Purchase!$G$1:$G$500)</f>
        <v/>
      </c>
      <c r="G760" s="23">
        <f>+D760*F760</f>
        <v/>
      </c>
    </row>
    <row r="761">
      <c r="A761" s="8" t="n"/>
      <c r="B761" s="8" t="n"/>
      <c r="C761" s="21" t="n"/>
      <c r="D761" s="22" t="n"/>
      <c r="E761" s="22">
        <f>IFERROR(+VLOOKUP(C761,Master!B:C,2,0),"")</f>
        <v/>
      </c>
      <c r="F761" s="23">
        <f>LOOKUP(2,1/((Purchase!$D$1:$D$500=C761)*(Purchase!$A$1:$A$500&lt;=A761)),Purchase!$G$1:$G$500)</f>
        <v/>
      </c>
      <c r="G761" s="23">
        <f>+D761*F761</f>
        <v/>
      </c>
    </row>
    <row r="762">
      <c r="A762" s="8" t="n"/>
      <c r="B762" s="8" t="n"/>
      <c r="C762" s="21" t="n"/>
      <c r="D762" s="22" t="n"/>
      <c r="E762" s="22">
        <f>IFERROR(+VLOOKUP(C762,Master!B:C,2,0),"")</f>
        <v/>
      </c>
      <c r="F762" s="23">
        <f>LOOKUP(2,1/((Purchase!$D$1:$D$500=C762)*(Purchase!$A$1:$A$500&lt;=A762)),Purchase!$G$1:$G$500)</f>
        <v/>
      </c>
      <c r="G762" s="23">
        <f>+D762*F762</f>
        <v/>
      </c>
    </row>
    <row r="763">
      <c r="A763" s="8" t="n"/>
      <c r="B763" s="8" t="n"/>
      <c r="C763" s="21" t="n"/>
      <c r="D763" s="22" t="n"/>
      <c r="E763" s="22">
        <f>IFERROR(+VLOOKUP(C763,Master!B:C,2,0),"")</f>
        <v/>
      </c>
      <c r="F763" s="23">
        <f>LOOKUP(2,1/((Purchase!$D$1:$D$500=C763)*(Purchase!$A$1:$A$500&lt;=A763)),Purchase!$G$1:$G$500)</f>
        <v/>
      </c>
      <c r="G763" s="23">
        <f>+D763*F763</f>
        <v/>
      </c>
    </row>
    <row r="764">
      <c r="A764" s="8" t="n"/>
      <c r="B764" s="8" t="n"/>
      <c r="C764" s="21" t="n"/>
      <c r="D764" s="22" t="n"/>
      <c r="E764" s="22">
        <f>IFERROR(+VLOOKUP(C764,Master!B:C,2,0),"")</f>
        <v/>
      </c>
      <c r="F764" s="23">
        <f>LOOKUP(2,1/((Purchase!$D$1:$D$500=C764)*(Purchase!$A$1:$A$500&lt;=A764)),Purchase!$G$1:$G$500)</f>
        <v/>
      </c>
      <c r="G764" s="23">
        <f>+D764*F764</f>
        <v/>
      </c>
    </row>
    <row r="765">
      <c r="A765" s="8" t="n"/>
      <c r="B765" s="8" t="n"/>
      <c r="C765" s="21" t="n"/>
      <c r="D765" s="22" t="n"/>
      <c r="E765" s="22">
        <f>IFERROR(+VLOOKUP(C765,Master!B:C,2,0),"")</f>
        <v/>
      </c>
      <c r="F765" s="23">
        <f>LOOKUP(2,1/((Purchase!$D$1:$D$500=C765)*(Purchase!$A$1:$A$500&lt;=A765)),Purchase!$G$1:$G$500)</f>
        <v/>
      </c>
      <c r="G765" s="23">
        <f>+D765*F765</f>
        <v/>
      </c>
    </row>
    <row r="766">
      <c r="A766" s="8" t="n"/>
      <c r="B766" s="8" t="n"/>
      <c r="C766" s="21" t="n"/>
      <c r="D766" s="22" t="n"/>
      <c r="E766" s="22">
        <f>IFERROR(+VLOOKUP(C766,Master!B:C,2,0),"")</f>
        <v/>
      </c>
      <c r="F766" s="23">
        <f>LOOKUP(2,1/((Purchase!$D$1:$D$500=C766)*(Purchase!$A$1:$A$500&lt;=A766)),Purchase!$G$1:$G$500)</f>
        <v/>
      </c>
      <c r="G766" s="23">
        <f>+D766*F766</f>
        <v/>
      </c>
    </row>
    <row r="767">
      <c r="A767" s="8" t="n"/>
      <c r="B767" s="8" t="n"/>
      <c r="C767" s="21" t="n"/>
      <c r="D767" s="22" t="n"/>
      <c r="E767" s="22">
        <f>IFERROR(+VLOOKUP(C767,Master!B:C,2,0),"")</f>
        <v/>
      </c>
      <c r="F767" s="23">
        <f>LOOKUP(2,1/((Purchase!$D$1:$D$500=C767)*(Purchase!$A$1:$A$500&lt;=A767)),Purchase!$G$1:$G$500)</f>
        <v/>
      </c>
      <c r="G767" s="23">
        <f>+D767*F767</f>
        <v/>
      </c>
    </row>
    <row r="768">
      <c r="A768" s="8" t="n"/>
      <c r="B768" s="8" t="n"/>
      <c r="C768" s="21" t="n"/>
      <c r="D768" s="22" t="n"/>
      <c r="E768" s="22">
        <f>IFERROR(+VLOOKUP(C768,Master!B:C,2,0),"")</f>
        <v/>
      </c>
      <c r="F768" s="23">
        <f>LOOKUP(2,1/((Purchase!$D$1:$D$500=C768)*(Purchase!$A$1:$A$500&lt;=A768)),Purchase!$G$1:$G$500)</f>
        <v/>
      </c>
      <c r="G768" s="23">
        <f>+D768*F768</f>
        <v/>
      </c>
    </row>
    <row r="769">
      <c r="A769" s="8" t="n"/>
      <c r="B769" s="8" t="n"/>
      <c r="C769" s="21" t="n"/>
      <c r="D769" s="22" t="n"/>
      <c r="E769" s="22">
        <f>IFERROR(+VLOOKUP(C769,Master!B:C,2,0),"")</f>
        <v/>
      </c>
      <c r="F769" s="23">
        <f>LOOKUP(2,1/((Purchase!$D$1:$D$500=C769)*(Purchase!$A$1:$A$500&lt;=A769)),Purchase!$G$1:$G$500)</f>
        <v/>
      </c>
      <c r="G769" s="23">
        <f>+D769*F769</f>
        <v/>
      </c>
    </row>
    <row r="770">
      <c r="A770" s="8" t="n"/>
      <c r="B770" s="8" t="n"/>
      <c r="C770" s="21" t="n"/>
      <c r="D770" s="22" t="n"/>
      <c r="E770" s="22">
        <f>IFERROR(+VLOOKUP(C770,Master!B:C,2,0),"")</f>
        <v/>
      </c>
      <c r="F770" s="23">
        <f>LOOKUP(2,1/((Purchase!$D$1:$D$500=C770)*(Purchase!$A$1:$A$500&lt;=A770)),Purchase!$G$1:$G$500)</f>
        <v/>
      </c>
      <c r="G770" s="23">
        <f>+D770*F770</f>
        <v/>
      </c>
    </row>
    <row r="771">
      <c r="A771" s="8" t="n"/>
      <c r="B771" s="8" t="n"/>
      <c r="C771" s="21" t="n"/>
      <c r="D771" s="22" t="n"/>
      <c r="E771" s="22">
        <f>IFERROR(+VLOOKUP(C771,Master!B:C,2,0),"")</f>
        <v/>
      </c>
      <c r="F771" s="23">
        <f>LOOKUP(2,1/((Purchase!$D$1:$D$500=C771)*(Purchase!$A$1:$A$500&lt;=A771)),Purchase!$G$1:$G$500)</f>
        <v/>
      </c>
      <c r="G771" s="23">
        <f>+D771*F771</f>
        <v/>
      </c>
    </row>
    <row r="772">
      <c r="A772" s="8" t="n"/>
      <c r="B772" s="8" t="n"/>
      <c r="C772" s="21" t="n"/>
      <c r="D772" s="22" t="n"/>
      <c r="E772" s="22">
        <f>IFERROR(+VLOOKUP(C772,Master!B:C,2,0),"")</f>
        <v/>
      </c>
      <c r="F772" s="23">
        <f>LOOKUP(2,1/((Purchase!$D$1:$D$500=C772)*(Purchase!$A$1:$A$500&lt;=A772)),Purchase!$G$1:$G$500)</f>
        <v/>
      </c>
      <c r="G772" s="23">
        <f>+D772*F772</f>
        <v/>
      </c>
    </row>
    <row r="773">
      <c r="A773" s="8" t="n"/>
      <c r="B773" s="8" t="n"/>
      <c r="C773" s="21" t="n"/>
      <c r="D773" s="22" t="n"/>
      <c r="E773" s="22">
        <f>IFERROR(+VLOOKUP(C773,Master!B:C,2,0),"")</f>
        <v/>
      </c>
      <c r="F773" s="23">
        <f>LOOKUP(2,1/((Purchase!$D$1:$D$500=C773)*(Purchase!$A$1:$A$500&lt;=A773)),Purchase!$G$1:$G$500)</f>
        <v/>
      </c>
      <c r="G773" s="23">
        <f>+D773*F773</f>
        <v/>
      </c>
    </row>
    <row r="774">
      <c r="A774" s="8" t="n"/>
      <c r="B774" s="8" t="n"/>
      <c r="C774" s="21" t="n"/>
      <c r="D774" s="22" t="n"/>
      <c r="E774" s="22">
        <f>IFERROR(+VLOOKUP(C774,Master!B:C,2,0),"")</f>
        <v/>
      </c>
      <c r="F774" s="23">
        <f>LOOKUP(2,1/((Purchase!$D$1:$D$500=C774)*(Purchase!$A$1:$A$500&lt;=A774)),Purchase!$G$1:$G$500)</f>
        <v/>
      </c>
      <c r="G774" s="23">
        <f>+D774*F774</f>
        <v/>
      </c>
    </row>
    <row r="775">
      <c r="A775" s="8" t="n"/>
      <c r="B775" s="8" t="n"/>
      <c r="C775" s="21" t="n"/>
      <c r="D775" s="22" t="n"/>
      <c r="E775" s="22">
        <f>IFERROR(+VLOOKUP(C775,Master!B:C,2,0),"")</f>
        <v/>
      </c>
      <c r="F775" s="23">
        <f>LOOKUP(2,1/((Purchase!$D$1:$D$500=C775)*(Purchase!$A$1:$A$500&lt;=A775)),Purchase!$G$1:$G$500)</f>
        <v/>
      </c>
      <c r="G775" s="23">
        <f>+D775*F775</f>
        <v/>
      </c>
    </row>
    <row r="776">
      <c r="A776" s="8" t="n"/>
      <c r="B776" s="8" t="n"/>
      <c r="C776" s="21" t="n"/>
      <c r="D776" s="22" t="n"/>
      <c r="E776" s="22">
        <f>IFERROR(+VLOOKUP(C776,Master!B:C,2,0),"")</f>
        <v/>
      </c>
      <c r="F776" s="23">
        <f>LOOKUP(2,1/((Purchase!$D$1:$D$500=C776)*(Purchase!$A$1:$A$500&lt;=A776)),Purchase!$G$1:$G$500)</f>
        <v/>
      </c>
      <c r="G776" s="23">
        <f>+D776*F776</f>
        <v/>
      </c>
    </row>
    <row r="777">
      <c r="A777" s="8" t="n"/>
      <c r="B777" s="8" t="n"/>
      <c r="C777" s="21" t="n"/>
      <c r="D777" s="22" t="n"/>
      <c r="E777" s="22">
        <f>IFERROR(+VLOOKUP(C777,Master!B:C,2,0),"")</f>
        <v/>
      </c>
      <c r="F777" s="23">
        <f>LOOKUP(2,1/((Purchase!$D$1:$D$500=C777)*(Purchase!$A$1:$A$500&lt;=A777)),Purchase!$G$1:$G$500)</f>
        <v/>
      </c>
      <c r="G777" s="23">
        <f>+D777*F777</f>
        <v/>
      </c>
    </row>
    <row r="778">
      <c r="A778" s="8" t="n"/>
      <c r="B778" s="8" t="n"/>
      <c r="C778" s="21" t="n"/>
      <c r="D778" s="22" t="n"/>
      <c r="E778" s="22">
        <f>IFERROR(+VLOOKUP(C778,Master!B:C,2,0),"")</f>
        <v/>
      </c>
      <c r="F778" s="23">
        <f>LOOKUP(2,1/((Purchase!$D$1:$D$500=C778)*(Purchase!$A$1:$A$500&lt;=A778)),Purchase!$G$1:$G$500)</f>
        <v/>
      </c>
      <c r="G778" s="23">
        <f>+D778*F778</f>
        <v/>
      </c>
    </row>
    <row r="779">
      <c r="A779" s="8" t="n"/>
      <c r="B779" s="8" t="n"/>
      <c r="C779" s="21" t="n"/>
      <c r="D779" s="22" t="n"/>
      <c r="E779" s="22">
        <f>IFERROR(+VLOOKUP(C779,Master!B:C,2,0),"")</f>
        <v/>
      </c>
      <c r="F779" s="23">
        <f>LOOKUP(2,1/((Purchase!$D$1:$D$500=C779)*(Purchase!$A$1:$A$500&lt;=A779)),Purchase!$G$1:$G$500)</f>
        <v/>
      </c>
      <c r="G779" s="23">
        <f>+D779*F779</f>
        <v/>
      </c>
    </row>
    <row r="780">
      <c r="A780" s="8" t="n"/>
      <c r="B780" s="8" t="n"/>
      <c r="C780" s="21" t="n"/>
      <c r="D780" s="22" t="n"/>
      <c r="E780" s="22">
        <f>IFERROR(+VLOOKUP(C780,Master!B:C,2,0),"")</f>
        <v/>
      </c>
      <c r="F780" s="23">
        <f>LOOKUP(2,1/((Purchase!$D$1:$D$500=C780)*(Purchase!$A$1:$A$500&lt;=A780)),Purchase!$G$1:$G$500)</f>
        <v/>
      </c>
      <c r="G780" s="23">
        <f>+D780*F780</f>
        <v/>
      </c>
    </row>
    <row r="781">
      <c r="A781" s="8" t="n"/>
      <c r="B781" s="8" t="n"/>
      <c r="C781" s="21" t="n"/>
      <c r="D781" s="22" t="n"/>
      <c r="E781" s="22">
        <f>IFERROR(+VLOOKUP(C781,Master!B:C,2,0),"")</f>
        <v/>
      </c>
      <c r="F781" s="23">
        <f>LOOKUP(2,1/((Purchase!$D$1:$D$500=C781)*(Purchase!$A$1:$A$500&lt;=A781)),Purchase!$G$1:$G$500)</f>
        <v/>
      </c>
      <c r="G781" s="23">
        <f>+D781*F781</f>
        <v/>
      </c>
    </row>
    <row r="782">
      <c r="A782" s="8" t="n"/>
      <c r="B782" s="8" t="n"/>
      <c r="C782" s="21" t="n"/>
      <c r="D782" s="22" t="n"/>
      <c r="E782" s="22">
        <f>IFERROR(+VLOOKUP(C782,Master!B:C,2,0),"")</f>
        <v/>
      </c>
      <c r="F782" s="23">
        <f>LOOKUP(2,1/((Purchase!$D$1:$D$500=C782)*(Purchase!$A$1:$A$500&lt;=A782)),Purchase!$G$1:$G$500)</f>
        <v/>
      </c>
      <c r="G782" s="23">
        <f>+D782*F782</f>
        <v/>
      </c>
    </row>
    <row r="783">
      <c r="A783" s="8" t="n"/>
      <c r="B783" s="8" t="n"/>
      <c r="C783" s="21" t="n"/>
      <c r="D783" s="22" t="n"/>
      <c r="E783" s="22">
        <f>IFERROR(+VLOOKUP(C783,Master!B:C,2,0),"")</f>
        <v/>
      </c>
      <c r="F783" s="23">
        <f>LOOKUP(2,1/((Purchase!$D$1:$D$500=C783)*(Purchase!$A$1:$A$500&lt;=A783)),Purchase!$G$1:$G$500)</f>
        <v/>
      </c>
      <c r="G783" s="23">
        <f>+D783*F783</f>
        <v/>
      </c>
    </row>
    <row r="784">
      <c r="A784" s="8" t="n"/>
      <c r="B784" s="8" t="n"/>
      <c r="C784" s="21" t="n"/>
      <c r="D784" s="22" t="n"/>
      <c r="E784" s="22">
        <f>IFERROR(+VLOOKUP(C784,Master!B:C,2,0),"")</f>
        <v/>
      </c>
      <c r="F784" s="23">
        <f>LOOKUP(2,1/((Purchase!$D$1:$D$500=C784)*(Purchase!$A$1:$A$500&lt;=A784)),Purchase!$G$1:$G$500)</f>
        <v/>
      </c>
      <c r="G784" s="23">
        <f>+D784*F784</f>
        <v/>
      </c>
    </row>
    <row r="785">
      <c r="A785" s="8" t="n"/>
      <c r="B785" s="8" t="n"/>
      <c r="C785" s="21" t="n"/>
      <c r="D785" s="22" t="n"/>
      <c r="E785" s="22">
        <f>IFERROR(+VLOOKUP(C785,Master!B:C,2,0),"")</f>
        <v/>
      </c>
      <c r="F785" s="23">
        <f>LOOKUP(2,1/((Purchase!$D$1:$D$500=C785)*(Purchase!$A$1:$A$500&lt;=A785)),Purchase!$G$1:$G$500)</f>
        <v/>
      </c>
      <c r="G785" s="23">
        <f>+D785*F785</f>
        <v/>
      </c>
    </row>
    <row r="786">
      <c r="A786" s="8" t="n"/>
      <c r="B786" s="8" t="n"/>
      <c r="C786" s="21" t="n"/>
      <c r="D786" s="22" t="n"/>
      <c r="E786" s="22">
        <f>IFERROR(+VLOOKUP(C786,Master!B:C,2,0),"")</f>
        <v/>
      </c>
      <c r="F786" s="23">
        <f>LOOKUP(2,1/((Purchase!$D$1:$D$500=C786)*(Purchase!$A$1:$A$500&lt;=A786)),Purchase!$G$1:$G$500)</f>
        <v/>
      </c>
      <c r="G786" s="23">
        <f>+D786*F786</f>
        <v/>
      </c>
    </row>
    <row r="787">
      <c r="A787" s="8" t="n"/>
      <c r="B787" s="8" t="n"/>
      <c r="C787" s="21" t="n"/>
      <c r="D787" s="22" t="n"/>
      <c r="E787" s="22">
        <f>IFERROR(+VLOOKUP(C787,Master!B:C,2,0),"")</f>
        <v/>
      </c>
      <c r="F787" s="23">
        <f>LOOKUP(2,1/((Purchase!$D$1:$D$500=C787)*(Purchase!$A$1:$A$500&lt;=A787)),Purchase!$G$1:$G$500)</f>
        <v/>
      </c>
      <c r="G787" s="23">
        <f>+D787*F787</f>
        <v/>
      </c>
    </row>
    <row r="788">
      <c r="A788" s="8" t="n"/>
      <c r="B788" s="8" t="n"/>
      <c r="C788" s="21" t="n"/>
      <c r="D788" s="22" t="n"/>
      <c r="E788" s="22">
        <f>IFERROR(+VLOOKUP(C788,Master!B:C,2,0),"")</f>
        <v/>
      </c>
      <c r="F788" s="23">
        <f>LOOKUP(2,1/((Purchase!$D$1:$D$500=C788)*(Purchase!$A$1:$A$500&lt;=A788)),Purchase!$G$1:$G$500)</f>
        <v/>
      </c>
      <c r="G788" s="23">
        <f>+D788*F788</f>
        <v/>
      </c>
    </row>
    <row r="789">
      <c r="A789" s="8" t="n"/>
      <c r="B789" s="8" t="n"/>
      <c r="C789" s="21" t="n"/>
      <c r="D789" s="22" t="n"/>
      <c r="E789" s="22">
        <f>IFERROR(+VLOOKUP(C789,Master!B:C,2,0),"")</f>
        <v/>
      </c>
      <c r="F789" s="23">
        <f>LOOKUP(2,1/((Purchase!$D$1:$D$500=C789)*(Purchase!$A$1:$A$500&lt;=A789)),Purchase!$G$1:$G$500)</f>
        <v/>
      </c>
      <c r="G789" s="23">
        <f>+D789*F789</f>
        <v/>
      </c>
    </row>
    <row r="790">
      <c r="A790" s="8" t="n"/>
      <c r="B790" s="8" t="n"/>
      <c r="C790" s="21" t="n"/>
      <c r="D790" s="22" t="n"/>
      <c r="E790" s="22">
        <f>IFERROR(+VLOOKUP(C790,Master!B:C,2,0),"")</f>
        <v/>
      </c>
      <c r="F790" s="23">
        <f>LOOKUP(2,1/((Purchase!$D$1:$D$500=C790)*(Purchase!$A$1:$A$500&lt;=A790)),Purchase!$G$1:$G$500)</f>
        <v/>
      </c>
      <c r="G790" s="23">
        <f>+D790*F790</f>
        <v/>
      </c>
    </row>
    <row r="791">
      <c r="A791" s="8" t="n"/>
      <c r="B791" s="8" t="n"/>
      <c r="C791" s="21" t="n"/>
      <c r="D791" s="22" t="n"/>
      <c r="E791" s="22">
        <f>IFERROR(+VLOOKUP(C791,Master!B:C,2,0),"")</f>
        <v/>
      </c>
      <c r="F791" s="23">
        <f>LOOKUP(2,1/((Purchase!$D$1:$D$500=C791)*(Purchase!$A$1:$A$500&lt;=A791)),Purchase!$G$1:$G$500)</f>
        <v/>
      </c>
      <c r="G791" s="23">
        <f>+D791*F791</f>
        <v/>
      </c>
    </row>
    <row r="792">
      <c r="A792" s="8" t="n"/>
      <c r="B792" s="8" t="n"/>
      <c r="C792" s="21" t="n"/>
      <c r="D792" s="22" t="n"/>
      <c r="E792" s="22">
        <f>IFERROR(+VLOOKUP(C792,Master!B:C,2,0),"")</f>
        <v/>
      </c>
      <c r="F792" s="23">
        <f>LOOKUP(2,1/((Purchase!$D$1:$D$500=C792)*(Purchase!$A$1:$A$500&lt;=A792)),Purchase!$G$1:$G$500)</f>
        <v/>
      </c>
      <c r="G792" s="23">
        <f>+D792*F792</f>
        <v/>
      </c>
    </row>
    <row r="793">
      <c r="A793" s="8" t="n"/>
      <c r="B793" s="8" t="n"/>
      <c r="C793" s="21" t="n"/>
      <c r="D793" s="22" t="n"/>
      <c r="E793" s="22">
        <f>IFERROR(+VLOOKUP(C793,Master!B:C,2,0),"")</f>
        <v/>
      </c>
      <c r="F793" s="23">
        <f>LOOKUP(2,1/((Purchase!$D$1:$D$500=C793)*(Purchase!$A$1:$A$500&lt;=A793)),Purchase!$G$1:$G$500)</f>
        <v/>
      </c>
      <c r="G793" s="23">
        <f>+D793*F793</f>
        <v/>
      </c>
    </row>
    <row r="794">
      <c r="A794" s="8" t="n"/>
      <c r="B794" s="8" t="n"/>
      <c r="C794" s="21" t="n"/>
      <c r="D794" s="22" t="n"/>
      <c r="E794" s="22">
        <f>IFERROR(+VLOOKUP(C794,Master!B:C,2,0),"")</f>
        <v/>
      </c>
      <c r="F794" s="23">
        <f>LOOKUP(2,1/((Purchase!$D$1:$D$500=C794)*(Purchase!$A$1:$A$500&lt;=A794)),Purchase!$G$1:$G$500)</f>
        <v/>
      </c>
      <c r="G794" s="23">
        <f>+D794*F794</f>
        <v/>
      </c>
    </row>
    <row r="795">
      <c r="A795" s="8" t="n"/>
      <c r="B795" s="8" t="n"/>
      <c r="C795" s="21" t="n"/>
      <c r="D795" s="22" t="n"/>
      <c r="E795" s="22">
        <f>IFERROR(+VLOOKUP(C795,Master!B:C,2,0),"")</f>
        <v/>
      </c>
      <c r="F795" s="23">
        <f>LOOKUP(2,1/((Purchase!$D$1:$D$500=C795)*(Purchase!$A$1:$A$500&lt;=A795)),Purchase!$G$1:$G$500)</f>
        <v/>
      </c>
      <c r="G795" s="23">
        <f>+D795*F795</f>
        <v/>
      </c>
    </row>
    <row r="796">
      <c r="A796" s="8" t="n"/>
      <c r="B796" s="8" t="n"/>
      <c r="C796" s="21" t="n"/>
      <c r="D796" s="22" t="n"/>
      <c r="E796" s="22">
        <f>IFERROR(+VLOOKUP(C796,Master!B:C,2,0),"")</f>
        <v/>
      </c>
      <c r="F796" s="23">
        <f>LOOKUP(2,1/((Purchase!$D$1:$D$500=C796)*(Purchase!$A$1:$A$500&lt;=A796)),Purchase!$G$1:$G$500)</f>
        <v/>
      </c>
      <c r="G796" s="23">
        <f>+D796*F796</f>
        <v/>
      </c>
    </row>
    <row r="797">
      <c r="A797" s="8" t="n"/>
      <c r="B797" s="8" t="n"/>
      <c r="C797" s="21" t="n"/>
      <c r="D797" s="22" t="n"/>
      <c r="E797" s="22">
        <f>IFERROR(+VLOOKUP(C797,Master!B:C,2,0),"")</f>
        <v/>
      </c>
      <c r="F797" s="23">
        <f>LOOKUP(2,1/((Purchase!$D$1:$D$500=C797)*(Purchase!$A$1:$A$500&lt;=A797)),Purchase!$G$1:$G$500)</f>
        <v/>
      </c>
      <c r="G797" s="23">
        <f>+D797*F797</f>
        <v/>
      </c>
    </row>
    <row r="798">
      <c r="A798" s="8" t="n"/>
      <c r="B798" s="8" t="n"/>
      <c r="C798" s="21" t="n"/>
      <c r="D798" s="22" t="n"/>
      <c r="E798" s="22">
        <f>IFERROR(+VLOOKUP(C798,Master!B:C,2,0),"")</f>
        <v/>
      </c>
      <c r="F798" s="23">
        <f>LOOKUP(2,1/((Purchase!$D$1:$D$500=C798)*(Purchase!$A$1:$A$500&lt;=A798)),Purchase!$G$1:$G$500)</f>
        <v/>
      </c>
      <c r="G798" s="23">
        <f>+D798*F798</f>
        <v/>
      </c>
    </row>
    <row r="799">
      <c r="A799" s="8" t="n"/>
      <c r="B799" s="8" t="n"/>
      <c r="C799" s="21" t="n"/>
      <c r="D799" s="22" t="n"/>
      <c r="E799" s="22">
        <f>IFERROR(+VLOOKUP(C799,Master!B:C,2,0),"")</f>
        <v/>
      </c>
      <c r="F799" s="23">
        <f>LOOKUP(2,1/((Purchase!$D$1:$D$500=C799)*(Purchase!$A$1:$A$500&lt;=A799)),Purchase!$G$1:$G$500)</f>
        <v/>
      </c>
      <c r="G799" s="23">
        <f>+D799*F799</f>
        <v/>
      </c>
    </row>
    <row r="800">
      <c r="A800" s="8" t="n"/>
      <c r="B800" s="8" t="n"/>
      <c r="C800" s="21" t="n"/>
      <c r="D800" s="22" t="n"/>
      <c r="E800" s="22">
        <f>IFERROR(+VLOOKUP(C800,Master!B:C,2,0),"")</f>
        <v/>
      </c>
      <c r="F800" s="23">
        <f>LOOKUP(2,1/((Purchase!$D$1:$D$500=C800)*(Purchase!$A$1:$A$500&lt;=A800)),Purchase!$G$1:$G$500)</f>
        <v/>
      </c>
      <c r="G800" s="23">
        <f>+D800*F800</f>
        <v/>
      </c>
    </row>
    <row r="801">
      <c r="A801" s="8" t="n"/>
      <c r="B801" s="8" t="n"/>
      <c r="C801" s="21" t="n"/>
      <c r="D801" s="22" t="n"/>
      <c r="E801" s="22">
        <f>IFERROR(+VLOOKUP(C801,Master!B:C,2,0),"")</f>
        <v/>
      </c>
      <c r="F801" s="23">
        <f>LOOKUP(2,1/((Purchase!$D$1:$D$500=C801)*(Purchase!$A$1:$A$500&lt;=A801)),Purchase!$G$1:$G$500)</f>
        <v/>
      </c>
      <c r="G801" s="23">
        <f>+D801*F801</f>
        <v/>
      </c>
    </row>
    <row r="802">
      <c r="A802" s="8" t="n"/>
      <c r="B802" s="8" t="n"/>
      <c r="C802" s="21" t="n"/>
      <c r="D802" s="22" t="n"/>
      <c r="E802" s="22">
        <f>IFERROR(+VLOOKUP(C802,Master!B:C,2,0),"")</f>
        <v/>
      </c>
      <c r="F802" s="23">
        <f>LOOKUP(2,1/((Purchase!$D$1:$D$500=C802)*(Purchase!$A$1:$A$500&lt;=A802)),Purchase!$G$1:$G$500)</f>
        <v/>
      </c>
      <c r="G802" s="23">
        <f>+D802*F802</f>
        <v/>
      </c>
    </row>
    <row r="803">
      <c r="A803" s="8" t="n"/>
      <c r="B803" s="8" t="n"/>
      <c r="C803" s="21" t="n"/>
      <c r="D803" s="22" t="n"/>
      <c r="E803" s="22">
        <f>IFERROR(+VLOOKUP(C803,Master!B:C,2,0),"")</f>
        <v/>
      </c>
      <c r="F803" s="23">
        <f>LOOKUP(2,1/((Purchase!$D$1:$D$500=C803)*(Purchase!$A$1:$A$500&lt;=A803)),Purchase!$G$1:$G$500)</f>
        <v/>
      </c>
      <c r="G803" s="23">
        <f>+D803*F803</f>
        <v/>
      </c>
    </row>
    <row r="804">
      <c r="A804" s="8" t="n"/>
      <c r="B804" s="8" t="n"/>
      <c r="C804" s="21" t="n"/>
      <c r="D804" s="22" t="n"/>
      <c r="E804" s="22">
        <f>IFERROR(+VLOOKUP(C804,Master!B:C,2,0),"")</f>
        <v/>
      </c>
      <c r="F804" s="23">
        <f>LOOKUP(2,1/((Purchase!$D$1:$D$500=C804)*(Purchase!$A$1:$A$500&lt;=A804)),Purchase!$G$1:$G$500)</f>
        <v/>
      </c>
      <c r="G804" s="23">
        <f>+D804*F804</f>
        <v/>
      </c>
    </row>
    <row r="805">
      <c r="A805" s="8" t="n"/>
      <c r="B805" s="8" t="n"/>
      <c r="C805" s="21" t="n"/>
      <c r="D805" s="22" t="n"/>
      <c r="E805" s="22">
        <f>IFERROR(+VLOOKUP(C805,Master!B:C,2,0),"")</f>
        <v/>
      </c>
      <c r="F805" s="23">
        <f>LOOKUP(2,1/((Purchase!$D$1:$D$500=C805)*(Purchase!$A$1:$A$500&lt;=A805)),Purchase!$G$1:$G$500)</f>
        <v/>
      </c>
      <c r="G805" s="23">
        <f>+D805*F805</f>
        <v/>
      </c>
    </row>
    <row r="806">
      <c r="A806" s="8" t="n"/>
      <c r="B806" s="8" t="n"/>
      <c r="C806" s="21" t="n"/>
      <c r="D806" s="22" t="n"/>
      <c r="E806" s="22">
        <f>IFERROR(+VLOOKUP(C806,Master!B:C,2,0),"")</f>
        <v/>
      </c>
      <c r="F806" s="23">
        <f>LOOKUP(2,1/((Purchase!$D$1:$D$500=C806)*(Purchase!$A$1:$A$500&lt;=A806)),Purchase!$G$1:$G$500)</f>
        <v/>
      </c>
      <c r="G806" s="23">
        <f>+D806*F806</f>
        <v/>
      </c>
    </row>
    <row r="807">
      <c r="A807" s="8" t="n"/>
      <c r="B807" s="8" t="n"/>
      <c r="C807" s="21" t="n"/>
      <c r="D807" s="22" t="n"/>
      <c r="E807" s="22">
        <f>IFERROR(+VLOOKUP(C807,Master!B:C,2,0),"")</f>
        <v/>
      </c>
      <c r="F807" s="23">
        <f>LOOKUP(2,1/((Purchase!$D$1:$D$500=C807)*(Purchase!$A$1:$A$500&lt;=A807)),Purchase!$G$1:$G$500)</f>
        <v/>
      </c>
      <c r="G807" s="23">
        <f>+D807*F807</f>
        <v/>
      </c>
    </row>
    <row r="808">
      <c r="A808" s="8" t="n"/>
      <c r="B808" s="8" t="n"/>
      <c r="C808" s="21" t="n"/>
      <c r="D808" s="22" t="n"/>
      <c r="E808" s="22">
        <f>IFERROR(+VLOOKUP(C808,Master!B:C,2,0),"")</f>
        <v/>
      </c>
      <c r="F808" s="23">
        <f>LOOKUP(2,1/((Purchase!$D$1:$D$500=C808)*(Purchase!$A$1:$A$500&lt;=A808)),Purchase!$G$1:$G$500)</f>
        <v/>
      </c>
      <c r="G808" s="23">
        <f>+D808*F808</f>
        <v/>
      </c>
    </row>
    <row r="809">
      <c r="A809" s="8" t="n"/>
      <c r="B809" s="8" t="n"/>
      <c r="C809" s="21" t="n"/>
      <c r="D809" s="22" t="n"/>
      <c r="E809" s="22">
        <f>IFERROR(+VLOOKUP(C809,Master!B:C,2,0),"")</f>
        <v/>
      </c>
      <c r="F809" s="23">
        <f>LOOKUP(2,1/((Purchase!$D$1:$D$500=C809)*(Purchase!$A$1:$A$500&lt;=A809)),Purchase!$G$1:$G$500)</f>
        <v/>
      </c>
      <c r="G809" s="23">
        <f>+D809*F809</f>
        <v/>
      </c>
    </row>
    <row r="810">
      <c r="A810" s="8" t="n"/>
      <c r="B810" s="8" t="n"/>
      <c r="C810" s="21" t="n"/>
      <c r="D810" s="22" t="n"/>
      <c r="E810" s="22">
        <f>IFERROR(+VLOOKUP(C810,Master!B:C,2,0),"")</f>
        <v/>
      </c>
      <c r="F810" s="23">
        <f>LOOKUP(2,1/((Purchase!$D$1:$D$500=C810)*(Purchase!$A$1:$A$500&lt;=A810)),Purchase!$G$1:$G$500)</f>
        <v/>
      </c>
      <c r="G810" s="23">
        <f>+D810*F810</f>
        <v/>
      </c>
    </row>
    <row r="811">
      <c r="A811" s="8" t="n"/>
      <c r="B811" s="8" t="n"/>
      <c r="C811" s="21" t="n"/>
      <c r="D811" s="22" t="n"/>
      <c r="E811" s="22">
        <f>IFERROR(+VLOOKUP(C811,Master!B:C,2,0),"")</f>
        <v/>
      </c>
      <c r="F811" s="23">
        <f>LOOKUP(2,1/((Purchase!$D$1:$D$500=C811)*(Purchase!$A$1:$A$500&lt;=A811)),Purchase!$G$1:$G$500)</f>
        <v/>
      </c>
      <c r="G811" s="23">
        <f>+D811*F811</f>
        <v/>
      </c>
    </row>
    <row r="812">
      <c r="A812" s="8" t="n"/>
      <c r="B812" s="8" t="n"/>
      <c r="C812" s="21" t="n"/>
      <c r="D812" s="22" t="n"/>
      <c r="E812" s="22">
        <f>IFERROR(+VLOOKUP(C812,Master!B:C,2,0),"")</f>
        <v/>
      </c>
      <c r="F812" s="23">
        <f>LOOKUP(2,1/((Purchase!$D$1:$D$500=C812)*(Purchase!$A$1:$A$500&lt;=A812)),Purchase!$G$1:$G$500)</f>
        <v/>
      </c>
      <c r="G812" s="23">
        <f>+D812*F812</f>
        <v/>
      </c>
    </row>
    <row r="813">
      <c r="A813" s="8" t="n"/>
      <c r="B813" s="8" t="n"/>
      <c r="C813" s="21" t="n"/>
      <c r="D813" s="22" t="n"/>
      <c r="E813" s="22">
        <f>IFERROR(+VLOOKUP(C813,Master!B:C,2,0),"")</f>
        <v/>
      </c>
      <c r="F813" s="23">
        <f>LOOKUP(2,1/((Purchase!$D$1:$D$500=C813)*(Purchase!$A$1:$A$500&lt;=A813)),Purchase!$G$1:$G$500)</f>
        <v/>
      </c>
      <c r="G813" s="23">
        <f>+D813*F813</f>
        <v/>
      </c>
    </row>
    <row r="814">
      <c r="A814" s="8" t="n"/>
      <c r="B814" s="8" t="n"/>
      <c r="C814" s="21" t="n"/>
      <c r="D814" s="22" t="n"/>
      <c r="E814" s="22">
        <f>IFERROR(+VLOOKUP(C814,Master!B:C,2,0),"")</f>
        <v/>
      </c>
      <c r="F814" s="23">
        <f>LOOKUP(2,1/((Purchase!$D$1:$D$500=C814)*(Purchase!$A$1:$A$500&lt;=A814)),Purchase!$G$1:$G$500)</f>
        <v/>
      </c>
      <c r="G814" s="23">
        <f>+D814*F814</f>
        <v/>
      </c>
    </row>
    <row r="815">
      <c r="A815" s="8" t="n"/>
      <c r="B815" s="8" t="n"/>
      <c r="C815" s="21" t="n"/>
      <c r="D815" s="22" t="n"/>
      <c r="E815" s="22">
        <f>IFERROR(+VLOOKUP(C815,Master!B:C,2,0),"")</f>
        <v/>
      </c>
      <c r="F815" s="23">
        <f>LOOKUP(2,1/((Purchase!$D$1:$D$500=C815)*(Purchase!$A$1:$A$500&lt;=A815)),Purchase!$G$1:$G$500)</f>
        <v/>
      </c>
      <c r="G815" s="23">
        <f>+D815*F815</f>
        <v/>
      </c>
    </row>
    <row r="816">
      <c r="A816" s="8" t="n"/>
      <c r="B816" s="8" t="n"/>
      <c r="C816" s="21" t="n"/>
      <c r="D816" s="22" t="n"/>
      <c r="E816" s="22">
        <f>IFERROR(+VLOOKUP(C816,Master!B:C,2,0),"")</f>
        <v/>
      </c>
      <c r="F816" s="23">
        <f>LOOKUP(2,1/((Purchase!$D$1:$D$500=C816)*(Purchase!$A$1:$A$500&lt;=A816)),Purchase!$G$1:$G$500)</f>
        <v/>
      </c>
      <c r="G816" s="23">
        <f>+D816*F816</f>
        <v/>
      </c>
    </row>
    <row r="817">
      <c r="A817" s="8" t="n"/>
      <c r="B817" s="8" t="n"/>
      <c r="C817" s="21" t="n"/>
      <c r="D817" s="22" t="n"/>
      <c r="E817" s="22">
        <f>IFERROR(+VLOOKUP(C817,Master!B:C,2,0),"")</f>
        <v/>
      </c>
      <c r="F817" s="23">
        <f>LOOKUP(2,1/((Purchase!$D$1:$D$500=C817)*(Purchase!$A$1:$A$500&lt;=A817)),Purchase!$G$1:$G$500)</f>
        <v/>
      </c>
      <c r="G817" s="23">
        <f>+D817*F817</f>
        <v/>
      </c>
    </row>
    <row r="818">
      <c r="A818" s="8" t="n"/>
      <c r="B818" s="8" t="n"/>
      <c r="C818" s="21" t="n"/>
      <c r="D818" s="22" t="n"/>
      <c r="E818" s="22">
        <f>IFERROR(+VLOOKUP(C818,Master!B:C,2,0),"")</f>
        <v/>
      </c>
      <c r="F818" s="23">
        <f>LOOKUP(2,1/((Purchase!$D$1:$D$500=C818)*(Purchase!$A$1:$A$500&lt;=A818)),Purchase!$G$1:$G$500)</f>
        <v/>
      </c>
      <c r="G818" s="23">
        <f>+D818*F818</f>
        <v/>
      </c>
    </row>
    <row r="819">
      <c r="A819" s="8" t="n"/>
      <c r="B819" s="8" t="n"/>
      <c r="C819" s="21" t="n"/>
      <c r="D819" s="22" t="n"/>
      <c r="E819" s="22">
        <f>IFERROR(+VLOOKUP(C819,Master!B:C,2,0),"")</f>
        <v/>
      </c>
      <c r="F819" s="23">
        <f>LOOKUP(2,1/((Purchase!$D$1:$D$500=C819)*(Purchase!$A$1:$A$500&lt;=A819)),Purchase!$G$1:$G$500)</f>
        <v/>
      </c>
      <c r="G819" s="23">
        <f>+D819*F819</f>
        <v/>
      </c>
    </row>
    <row r="820">
      <c r="A820" s="8" t="n"/>
      <c r="B820" s="8" t="n"/>
      <c r="C820" s="21" t="n"/>
      <c r="D820" s="22" t="n"/>
      <c r="E820" s="22">
        <f>IFERROR(+VLOOKUP(C820,Master!B:C,2,0),"")</f>
        <v/>
      </c>
      <c r="F820" s="23">
        <f>LOOKUP(2,1/((Purchase!$D$1:$D$500=C820)*(Purchase!$A$1:$A$500&lt;=A820)),Purchase!$G$1:$G$500)</f>
        <v/>
      </c>
      <c r="G820" s="23">
        <f>+D820*F820</f>
        <v/>
      </c>
    </row>
    <row r="821">
      <c r="A821" s="8" t="n"/>
      <c r="B821" s="8" t="n"/>
      <c r="C821" s="21" t="n"/>
      <c r="D821" s="22" t="n"/>
      <c r="E821" s="22">
        <f>IFERROR(+VLOOKUP(C821,Master!B:C,2,0),"")</f>
        <v/>
      </c>
      <c r="F821" s="23">
        <f>LOOKUP(2,1/((Purchase!$D$1:$D$500=C821)*(Purchase!$A$1:$A$500&lt;=A821)),Purchase!$G$1:$G$500)</f>
        <v/>
      </c>
      <c r="G821" s="23">
        <f>+D821*F821</f>
        <v/>
      </c>
    </row>
    <row r="822">
      <c r="A822" s="8" t="n"/>
      <c r="B822" s="8" t="n"/>
      <c r="C822" s="21" t="n"/>
      <c r="D822" s="22" t="n"/>
      <c r="E822" s="22">
        <f>IFERROR(+VLOOKUP(C822,Master!B:C,2,0),"")</f>
        <v/>
      </c>
      <c r="F822" s="23">
        <f>LOOKUP(2,1/((Purchase!$D$1:$D$500=C822)*(Purchase!$A$1:$A$500&lt;=A822)),Purchase!$G$1:$G$500)</f>
        <v/>
      </c>
      <c r="G822" s="23">
        <f>+D822*F822</f>
        <v/>
      </c>
    </row>
    <row r="823">
      <c r="A823" s="8" t="n"/>
      <c r="B823" s="8" t="n"/>
      <c r="C823" s="21" t="n"/>
      <c r="D823" s="22" t="n"/>
      <c r="E823" s="22">
        <f>IFERROR(+VLOOKUP(C823,Master!B:C,2,0),"")</f>
        <v/>
      </c>
      <c r="F823" s="23">
        <f>LOOKUP(2,1/((Purchase!$D$1:$D$500=C823)*(Purchase!$A$1:$A$500&lt;=A823)),Purchase!$G$1:$G$500)</f>
        <v/>
      </c>
      <c r="G823" s="23">
        <f>+D823*F823</f>
        <v/>
      </c>
    </row>
    <row r="824">
      <c r="A824" s="8" t="n"/>
      <c r="B824" s="8" t="n"/>
      <c r="C824" s="21" t="n"/>
      <c r="D824" s="22" t="n"/>
      <c r="E824" s="22">
        <f>IFERROR(+VLOOKUP(C824,Master!B:C,2,0),"")</f>
        <v/>
      </c>
      <c r="F824" s="23">
        <f>LOOKUP(2,1/((Purchase!$D$1:$D$500=C824)*(Purchase!$A$1:$A$500&lt;=A824)),Purchase!$G$1:$G$500)</f>
        <v/>
      </c>
      <c r="G824" s="23">
        <f>+D824*F824</f>
        <v/>
      </c>
    </row>
    <row r="825">
      <c r="A825" s="8" t="n"/>
      <c r="B825" s="8" t="n"/>
      <c r="C825" s="21" t="n"/>
      <c r="D825" s="22" t="n"/>
      <c r="E825" s="22">
        <f>IFERROR(+VLOOKUP(C825,Master!B:C,2,0),"")</f>
        <v/>
      </c>
      <c r="F825" s="23">
        <f>LOOKUP(2,1/((Purchase!$D$1:$D$500=C825)*(Purchase!$A$1:$A$500&lt;=A825)),Purchase!$G$1:$G$500)</f>
        <v/>
      </c>
      <c r="G825" s="23">
        <f>+D825*F825</f>
        <v/>
      </c>
    </row>
    <row r="826">
      <c r="A826" s="8" t="n"/>
      <c r="B826" s="8" t="n"/>
      <c r="C826" s="21" t="n"/>
      <c r="D826" s="22" t="n"/>
      <c r="E826" s="22">
        <f>IFERROR(+VLOOKUP(C826,Master!B:C,2,0),"")</f>
        <v/>
      </c>
      <c r="F826" s="23">
        <f>LOOKUP(2,1/((Purchase!$D$1:$D$500=C826)*(Purchase!$A$1:$A$500&lt;=A826)),Purchase!$G$1:$G$500)</f>
        <v/>
      </c>
      <c r="G826" s="23">
        <f>+D826*F826</f>
        <v/>
      </c>
    </row>
    <row r="827">
      <c r="A827" s="8" t="n"/>
      <c r="B827" s="8" t="n"/>
      <c r="C827" s="21" t="n"/>
      <c r="D827" s="22" t="n"/>
      <c r="E827" s="22">
        <f>IFERROR(+VLOOKUP(C827,Master!B:C,2,0),"")</f>
        <v/>
      </c>
      <c r="F827" s="23">
        <f>LOOKUP(2,1/((Purchase!$D$1:$D$500=C827)*(Purchase!$A$1:$A$500&lt;=A827)),Purchase!$G$1:$G$500)</f>
        <v/>
      </c>
      <c r="G827" s="23">
        <f>+D827*F827</f>
        <v/>
      </c>
    </row>
    <row r="828">
      <c r="A828" s="8" t="n"/>
      <c r="B828" s="8" t="n"/>
      <c r="C828" s="21" t="n"/>
      <c r="D828" s="22" t="n"/>
      <c r="E828" s="22">
        <f>IFERROR(+VLOOKUP(C828,Master!B:C,2,0),"")</f>
        <v/>
      </c>
      <c r="F828" s="23">
        <f>LOOKUP(2,1/((Purchase!$D$1:$D$500=C828)*(Purchase!$A$1:$A$500&lt;=A828)),Purchase!$G$1:$G$500)</f>
        <v/>
      </c>
      <c r="G828" s="23">
        <f>+D828*F828</f>
        <v/>
      </c>
    </row>
    <row r="829">
      <c r="A829" s="8" t="n"/>
      <c r="B829" s="8" t="n"/>
      <c r="C829" s="21" t="n"/>
      <c r="D829" s="22" t="n"/>
      <c r="E829" s="22">
        <f>IFERROR(+VLOOKUP(C829,Master!B:C,2,0),"")</f>
        <v/>
      </c>
      <c r="F829" s="23">
        <f>LOOKUP(2,1/((Purchase!$D$1:$D$500=C829)*(Purchase!$A$1:$A$500&lt;=A829)),Purchase!$G$1:$G$500)</f>
        <v/>
      </c>
      <c r="G829" s="23">
        <f>+D829*F829</f>
        <v/>
      </c>
    </row>
    <row r="830">
      <c r="A830" s="8" t="n"/>
      <c r="B830" s="8" t="n"/>
      <c r="C830" s="21" t="n"/>
      <c r="D830" s="22" t="n"/>
      <c r="E830" s="22">
        <f>IFERROR(+VLOOKUP(C830,Master!B:C,2,0),"")</f>
        <v/>
      </c>
      <c r="F830" s="23">
        <f>LOOKUP(2,1/((Purchase!$D$1:$D$500=C830)*(Purchase!$A$1:$A$500&lt;=A830)),Purchase!$G$1:$G$500)</f>
        <v/>
      </c>
      <c r="G830" s="23">
        <f>+D830*F830</f>
        <v/>
      </c>
    </row>
    <row r="831">
      <c r="A831" s="8" t="n"/>
      <c r="B831" s="8" t="n"/>
      <c r="C831" s="21" t="n"/>
      <c r="D831" s="22" t="n"/>
      <c r="E831" s="22">
        <f>IFERROR(+VLOOKUP(C831,Master!B:C,2,0),"")</f>
        <v/>
      </c>
      <c r="F831" s="23">
        <f>LOOKUP(2,1/((Purchase!$D$1:$D$500=C831)*(Purchase!$A$1:$A$500&lt;=A831)),Purchase!$G$1:$G$500)</f>
        <v/>
      </c>
      <c r="G831" s="23">
        <f>+D831*F831</f>
        <v/>
      </c>
    </row>
    <row r="832">
      <c r="A832" s="8" t="n"/>
      <c r="B832" s="8" t="n"/>
      <c r="C832" s="21" t="n"/>
      <c r="D832" s="22" t="n"/>
      <c r="E832" s="22">
        <f>IFERROR(+VLOOKUP(C832,Master!B:C,2,0),"")</f>
        <v/>
      </c>
      <c r="F832" s="23">
        <f>LOOKUP(2,1/((Purchase!$D$1:$D$500=C832)*(Purchase!$A$1:$A$500&lt;=A832)),Purchase!$G$1:$G$500)</f>
        <v/>
      </c>
      <c r="G832" s="23">
        <f>+D832*F832</f>
        <v/>
      </c>
    </row>
    <row r="833">
      <c r="A833" s="8" t="n"/>
      <c r="B833" s="8" t="n"/>
      <c r="C833" s="21" t="n"/>
      <c r="D833" s="22" t="n"/>
      <c r="E833" s="22">
        <f>IFERROR(+VLOOKUP(C833,Master!B:C,2,0),"")</f>
        <v/>
      </c>
      <c r="F833" s="23">
        <f>LOOKUP(2,1/((Purchase!$D$1:$D$500=C833)*(Purchase!$A$1:$A$500&lt;=A833)),Purchase!$G$1:$G$500)</f>
        <v/>
      </c>
      <c r="G833" s="23">
        <f>+D833*F833</f>
        <v/>
      </c>
    </row>
    <row r="834">
      <c r="A834" s="8" t="n"/>
      <c r="B834" s="8" t="n"/>
      <c r="C834" s="21" t="n"/>
      <c r="D834" s="22" t="n"/>
      <c r="E834" s="22">
        <f>IFERROR(+VLOOKUP(C834,Master!B:C,2,0),"")</f>
        <v/>
      </c>
      <c r="F834" s="23">
        <f>LOOKUP(2,1/((Purchase!$D$1:$D$500=C834)*(Purchase!$A$1:$A$500&lt;=A834)),Purchase!$G$1:$G$500)</f>
        <v/>
      </c>
      <c r="G834" s="23">
        <f>+D834*F834</f>
        <v/>
      </c>
    </row>
    <row r="835">
      <c r="A835" s="8" t="n"/>
      <c r="B835" s="8" t="n"/>
      <c r="C835" s="21" t="n"/>
      <c r="D835" s="22" t="n"/>
      <c r="E835" s="22">
        <f>IFERROR(+VLOOKUP(C835,Master!B:C,2,0),"")</f>
        <v/>
      </c>
      <c r="F835" s="23">
        <f>LOOKUP(2,1/((Purchase!$D$1:$D$500=C835)*(Purchase!$A$1:$A$500&lt;=A835)),Purchase!$G$1:$G$500)</f>
        <v/>
      </c>
      <c r="G835" s="23">
        <f>+D835*F835</f>
        <v/>
      </c>
    </row>
    <row r="836">
      <c r="A836" s="8" t="n"/>
      <c r="B836" s="8" t="n"/>
      <c r="C836" s="21" t="n"/>
      <c r="D836" s="22" t="n"/>
      <c r="E836" s="22">
        <f>IFERROR(+VLOOKUP(C836,Master!B:C,2,0),"")</f>
        <v/>
      </c>
      <c r="F836" s="23">
        <f>LOOKUP(2,1/((Purchase!$D$1:$D$500=C836)*(Purchase!$A$1:$A$500&lt;=A836)),Purchase!$G$1:$G$500)</f>
        <v/>
      </c>
      <c r="G836" s="23">
        <f>+D836*F836</f>
        <v/>
      </c>
    </row>
    <row r="837">
      <c r="A837" s="8" t="n"/>
      <c r="B837" s="8" t="n"/>
      <c r="C837" s="21" t="n"/>
      <c r="D837" s="22" t="n"/>
      <c r="E837" s="22">
        <f>IFERROR(+VLOOKUP(C837,Master!B:C,2,0),"")</f>
        <v/>
      </c>
      <c r="F837" s="23">
        <f>LOOKUP(2,1/((Purchase!$D$1:$D$500=C837)*(Purchase!$A$1:$A$500&lt;=A837)),Purchase!$G$1:$G$500)</f>
        <v/>
      </c>
      <c r="G837" s="23">
        <f>+D837*F837</f>
        <v/>
      </c>
    </row>
    <row r="838">
      <c r="A838" s="8" t="n"/>
      <c r="B838" s="8" t="n"/>
      <c r="C838" s="21" t="n"/>
      <c r="D838" s="22" t="n"/>
      <c r="E838" s="22">
        <f>IFERROR(+VLOOKUP(C838,Master!B:C,2,0),"")</f>
        <v/>
      </c>
      <c r="F838" s="23">
        <f>LOOKUP(2,1/((Purchase!$D$1:$D$500=C838)*(Purchase!$A$1:$A$500&lt;=A838)),Purchase!$G$1:$G$500)</f>
        <v/>
      </c>
      <c r="G838" s="23">
        <f>+D838*F838</f>
        <v/>
      </c>
    </row>
    <row r="839">
      <c r="A839" s="8" t="n"/>
      <c r="B839" s="8" t="n"/>
      <c r="C839" s="21" t="n"/>
      <c r="D839" s="22" t="n"/>
      <c r="E839" s="22">
        <f>IFERROR(+VLOOKUP(C839,Master!B:C,2,0),"")</f>
        <v/>
      </c>
      <c r="F839" s="23">
        <f>LOOKUP(2,1/((Purchase!$D$1:$D$500=C839)*(Purchase!$A$1:$A$500&lt;=A839)),Purchase!$G$1:$G$500)</f>
        <v/>
      </c>
      <c r="G839" s="23">
        <f>+D839*F839</f>
        <v/>
      </c>
    </row>
    <row r="840">
      <c r="A840" s="8" t="n"/>
      <c r="B840" s="8" t="n"/>
      <c r="C840" s="21" t="n"/>
      <c r="D840" s="22" t="n"/>
      <c r="E840" s="22">
        <f>IFERROR(+VLOOKUP(C840,Master!B:C,2,0),"")</f>
        <v/>
      </c>
      <c r="F840" s="23">
        <f>LOOKUP(2,1/((Purchase!$D$1:$D$500=C840)*(Purchase!$A$1:$A$500&lt;=A840)),Purchase!$G$1:$G$500)</f>
        <v/>
      </c>
      <c r="G840" s="23">
        <f>+D840*F840</f>
        <v/>
      </c>
    </row>
    <row r="841">
      <c r="A841" s="8" t="n"/>
      <c r="B841" s="8" t="n"/>
      <c r="C841" s="21" t="n"/>
      <c r="D841" s="22" t="n"/>
      <c r="E841" s="22">
        <f>IFERROR(+VLOOKUP(C841,Master!B:C,2,0),"")</f>
        <v/>
      </c>
      <c r="F841" s="23">
        <f>LOOKUP(2,1/((Purchase!$D$1:$D$500=C841)*(Purchase!$A$1:$A$500&lt;=A841)),Purchase!$G$1:$G$500)</f>
        <v/>
      </c>
      <c r="G841" s="23">
        <f>+D841*F841</f>
        <v/>
      </c>
    </row>
    <row r="842">
      <c r="A842" s="8" t="n"/>
      <c r="B842" s="8" t="n"/>
      <c r="C842" s="21" t="n"/>
      <c r="D842" s="22" t="n"/>
      <c r="E842" s="22">
        <f>IFERROR(+VLOOKUP(C842,Master!B:C,2,0),"")</f>
        <v/>
      </c>
      <c r="F842" s="23">
        <f>LOOKUP(2,1/((Purchase!$D$1:$D$500=C842)*(Purchase!$A$1:$A$500&lt;=A842)),Purchase!$G$1:$G$500)</f>
        <v/>
      </c>
      <c r="G842" s="23">
        <f>+D842*F842</f>
        <v/>
      </c>
    </row>
    <row r="843">
      <c r="A843" s="8" t="n"/>
      <c r="B843" s="8" t="n"/>
      <c r="C843" s="21" t="n"/>
      <c r="D843" s="22" t="n"/>
      <c r="E843" s="22">
        <f>IFERROR(+VLOOKUP(C843,Master!B:C,2,0),"")</f>
        <v/>
      </c>
      <c r="F843" s="23">
        <f>LOOKUP(2,1/((Purchase!$D$1:$D$500=C843)*(Purchase!$A$1:$A$500&lt;=A843)),Purchase!$G$1:$G$500)</f>
        <v/>
      </c>
      <c r="G843" s="23">
        <f>+D843*F843</f>
        <v/>
      </c>
    </row>
    <row r="844">
      <c r="A844" s="8" t="n"/>
      <c r="B844" s="8" t="n"/>
      <c r="C844" s="21" t="n"/>
      <c r="D844" s="22" t="n"/>
      <c r="E844" s="22">
        <f>IFERROR(+VLOOKUP(C844,Master!B:C,2,0),"")</f>
        <v/>
      </c>
      <c r="F844" s="23">
        <f>LOOKUP(2,1/((Purchase!$D$1:$D$500=C844)*(Purchase!$A$1:$A$500&lt;=A844)),Purchase!$G$1:$G$500)</f>
        <v/>
      </c>
      <c r="G844" s="23">
        <f>+D844*F844</f>
        <v/>
      </c>
    </row>
    <row r="845">
      <c r="A845" s="8" t="n"/>
      <c r="B845" s="8" t="n"/>
      <c r="C845" s="21" t="n"/>
      <c r="D845" s="22" t="n"/>
      <c r="E845" s="22">
        <f>IFERROR(+VLOOKUP(C845,Master!B:C,2,0),"")</f>
        <v/>
      </c>
      <c r="F845" s="23">
        <f>LOOKUP(2,1/((Purchase!$D$1:$D$500=C845)*(Purchase!$A$1:$A$500&lt;=A845)),Purchase!$G$1:$G$500)</f>
        <v/>
      </c>
      <c r="G845" s="23">
        <f>+D845*F845</f>
        <v/>
      </c>
    </row>
    <row r="846">
      <c r="A846" s="8" t="n"/>
      <c r="B846" s="8" t="n"/>
      <c r="C846" s="21" t="n"/>
      <c r="D846" s="22" t="n"/>
      <c r="E846" s="22">
        <f>IFERROR(+VLOOKUP(C846,Master!B:C,2,0),"")</f>
        <v/>
      </c>
      <c r="F846" s="23">
        <f>LOOKUP(2,1/((Purchase!$D$1:$D$500=C846)*(Purchase!$A$1:$A$500&lt;=A846)),Purchase!$G$1:$G$500)</f>
        <v/>
      </c>
      <c r="G846" s="23">
        <f>+D846*F846</f>
        <v/>
      </c>
    </row>
    <row r="847">
      <c r="A847" s="8" t="n"/>
      <c r="B847" s="8" t="n"/>
      <c r="C847" s="21" t="n"/>
      <c r="D847" s="22" t="n"/>
      <c r="E847" s="22">
        <f>IFERROR(+VLOOKUP(C847,Master!B:C,2,0),"")</f>
        <v/>
      </c>
      <c r="F847" s="23">
        <f>LOOKUP(2,1/((Purchase!$D$1:$D$500=C847)*(Purchase!$A$1:$A$500&lt;=A847)),Purchase!$G$1:$G$500)</f>
        <v/>
      </c>
      <c r="G847" s="23">
        <f>+D847*F847</f>
        <v/>
      </c>
    </row>
    <row r="848">
      <c r="A848" s="8" t="n"/>
      <c r="B848" s="8" t="n"/>
      <c r="C848" s="21" t="n"/>
      <c r="D848" s="22" t="n"/>
      <c r="E848" s="22">
        <f>IFERROR(+VLOOKUP(C848,Master!B:C,2,0),"")</f>
        <v/>
      </c>
      <c r="F848" s="23">
        <f>LOOKUP(2,1/((Purchase!$D$1:$D$500=C848)*(Purchase!$A$1:$A$500&lt;=A848)),Purchase!$G$1:$G$500)</f>
        <v/>
      </c>
      <c r="G848" s="23">
        <f>+D848*F848</f>
        <v/>
      </c>
    </row>
    <row r="849">
      <c r="A849" s="8" t="n"/>
      <c r="B849" s="8" t="n"/>
      <c r="C849" s="21" t="n"/>
      <c r="D849" s="22" t="n"/>
      <c r="E849" s="22">
        <f>IFERROR(+VLOOKUP(C849,Master!B:C,2,0),"")</f>
        <v/>
      </c>
      <c r="F849" s="23">
        <f>LOOKUP(2,1/((Purchase!$D$1:$D$500=C849)*(Purchase!$A$1:$A$500&lt;=A849)),Purchase!$G$1:$G$500)</f>
        <v/>
      </c>
      <c r="G849" s="23">
        <f>+D849*F849</f>
        <v/>
      </c>
    </row>
    <row r="850">
      <c r="A850" s="8" t="n"/>
      <c r="B850" s="8" t="n"/>
      <c r="C850" s="21" t="n"/>
      <c r="D850" s="22" t="n"/>
      <c r="E850" s="22">
        <f>IFERROR(+VLOOKUP(C850,Master!B:C,2,0),"")</f>
        <v/>
      </c>
      <c r="F850" s="23">
        <f>LOOKUP(2,1/((Purchase!$D$1:$D$500=C850)*(Purchase!$A$1:$A$500&lt;=A850)),Purchase!$G$1:$G$500)</f>
        <v/>
      </c>
      <c r="G850" s="23">
        <f>+D850*F850</f>
        <v/>
      </c>
    </row>
    <row r="851">
      <c r="A851" s="8" t="n"/>
      <c r="B851" s="8" t="n"/>
      <c r="C851" s="21" t="n"/>
      <c r="D851" s="22" t="n"/>
      <c r="E851" s="22">
        <f>IFERROR(+VLOOKUP(C851,Master!B:C,2,0),"")</f>
        <v/>
      </c>
      <c r="F851" s="23">
        <f>LOOKUP(2,1/((Purchase!$D$1:$D$500=C851)*(Purchase!$A$1:$A$500&lt;=A851)),Purchase!$G$1:$G$500)</f>
        <v/>
      </c>
      <c r="G851" s="23">
        <f>+D851*F851</f>
        <v/>
      </c>
    </row>
    <row r="852">
      <c r="A852" s="8" t="n"/>
      <c r="B852" s="8" t="n"/>
      <c r="C852" s="21" t="n"/>
      <c r="D852" s="22" t="n"/>
      <c r="E852" s="22">
        <f>IFERROR(+VLOOKUP(C852,Master!B:C,2,0),"")</f>
        <v/>
      </c>
      <c r="F852" s="23">
        <f>LOOKUP(2,1/((Purchase!$D$1:$D$500=C852)*(Purchase!$A$1:$A$500&lt;=A852)),Purchase!$G$1:$G$500)</f>
        <v/>
      </c>
      <c r="G852" s="23">
        <f>+D852*F852</f>
        <v/>
      </c>
    </row>
    <row r="853">
      <c r="A853" s="8" t="n"/>
      <c r="B853" s="8" t="n"/>
      <c r="C853" s="21" t="n"/>
      <c r="D853" s="22" t="n"/>
      <c r="E853" s="22">
        <f>IFERROR(+VLOOKUP(C853,Master!B:C,2,0),"")</f>
        <v/>
      </c>
      <c r="F853" s="23">
        <f>LOOKUP(2,1/((Purchase!$D$1:$D$500=C853)*(Purchase!$A$1:$A$500&lt;=A853)),Purchase!$G$1:$G$500)</f>
        <v/>
      </c>
      <c r="G853" s="23">
        <f>+D853*F853</f>
        <v/>
      </c>
    </row>
    <row r="854">
      <c r="A854" s="8" t="n"/>
      <c r="B854" s="8" t="n"/>
      <c r="C854" s="21" t="n"/>
      <c r="D854" s="22" t="n"/>
      <c r="E854" s="22">
        <f>IFERROR(+VLOOKUP(C854,Master!B:C,2,0),"")</f>
        <v/>
      </c>
      <c r="F854" s="23">
        <f>LOOKUP(2,1/((Purchase!$D$1:$D$500=C854)*(Purchase!$A$1:$A$500&lt;=A854)),Purchase!$G$1:$G$500)</f>
        <v/>
      </c>
      <c r="G854" s="23">
        <f>+D854*F854</f>
        <v/>
      </c>
    </row>
    <row r="855">
      <c r="A855" s="8" t="n"/>
      <c r="B855" s="8" t="n"/>
      <c r="C855" s="21" t="n"/>
      <c r="D855" s="22" t="n"/>
      <c r="E855" s="22">
        <f>IFERROR(+VLOOKUP(C855,Master!B:C,2,0),"")</f>
        <v/>
      </c>
      <c r="F855" s="23">
        <f>LOOKUP(2,1/((Purchase!$D$1:$D$500=C855)*(Purchase!$A$1:$A$500&lt;=A855)),Purchase!$G$1:$G$500)</f>
        <v/>
      </c>
      <c r="G855" s="23">
        <f>+D855*F855</f>
        <v/>
      </c>
    </row>
    <row r="856">
      <c r="A856" s="8" t="n"/>
      <c r="B856" s="8" t="n"/>
      <c r="C856" s="21" t="n"/>
      <c r="D856" s="22" t="n"/>
      <c r="E856" s="22">
        <f>IFERROR(+VLOOKUP(C856,Master!B:C,2,0),"")</f>
        <v/>
      </c>
      <c r="F856" s="23">
        <f>LOOKUP(2,1/((Purchase!$D$1:$D$500=C856)*(Purchase!$A$1:$A$500&lt;=A856)),Purchase!$G$1:$G$500)</f>
        <v/>
      </c>
      <c r="G856" s="23">
        <f>+D856*F856</f>
        <v/>
      </c>
    </row>
    <row r="857">
      <c r="A857" s="8" t="n"/>
      <c r="B857" s="8" t="n"/>
      <c r="C857" s="21" t="n"/>
      <c r="D857" s="22" t="n"/>
      <c r="E857" s="22">
        <f>IFERROR(+VLOOKUP(C857,Master!B:C,2,0),"")</f>
        <v/>
      </c>
      <c r="F857" s="23">
        <f>LOOKUP(2,1/((Purchase!$D$1:$D$500=C857)*(Purchase!$A$1:$A$500&lt;=A857)),Purchase!$G$1:$G$500)</f>
        <v/>
      </c>
      <c r="G857" s="23">
        <f>+D857*F857</f>
        <v/>
      </c>
    </row>
    <row r="858">
      <c r="A858" s="8" t="n"/>
      <c r="B858" s="8" t="n"/>
      <c r="C858" s="21" t="n"/>
      <c r="D858" s="22" t="n"/>
      <c r="E858" s="22">
        <f>IFERROR(+VLOOKUP(C858,Master!B:C,2,0),"")</f>
        <v/>
      </c>
      <c r="F858" s="23">
        <f>LOOKUP(2,1/((Purchase!$D$1:$D$500=C858)*(Purchase!$A$1:$A$500&lt;=A858)),Purchase!$G$1:$G$500)</f>
        <v/>
      </c>
      <c r="G858" s="23">
        <f>+D858*F858</f>
        <v/>
      </c>
    </row>
    <row r="859">
      <c r="A859" s="8" t="n"/>
      <c r="B859" s="8" t="n"/>
      <c r="C859" s="21" t="n"/>
      <c r="D859" s="22" t="n"/>
      <c r="E859" s="22">
        <f>IFERROR(+VLOOKUP(C859,Master!B:C,2,0),"")</f>
        <v/>
      </c>
      <c r="F859" s="23">
        <f>LOOKUP(2,1/((Purchase!$D$1:$D$500=C859)*(Purchase!$A$1:$A$500&lt;=A859)),Purchase!$G$1:$G$500)</f>
        <v/>
      </c>
      <c r="G859" s="23">
        <f>+D859*F859</f>
        <v/>
      </c>
    </row>
    <row r="860">
      <c r="A860" s="8" t="n"/>
      <c r="B860" s="8" t="n"/>
      <c r="C860" s="21" t="n"/>
      <c r="D860" s="22" t="n"/>
      <c r="E860" s="22">
        <f>IFERROR(+VLOOKUP(C860,Master!B:C,2,0),"")</f>
        <v/>
      </c>
      <c r="F860" s="23">
        <f>LOOKUP(2,1/((Purchase!$D$1:$D$500=C860)*(Purchase!$A$1:$A$500&lt;=A860)),Purchase!$G$1:$G$500)</f>
        <v/>
      </c>
      <c r="G860" s="23">
        <f>+D860*F860</f>
        <v/>
      </c>
    </row>
    <row r="861">
      <c r="A861" s="8" t="n"/>
      <c r="B861" s="8" t="n"/>
      <c r="C861" s="21" t="n"/>
      <c r="D861" s="22" t="n"/>
      <c r="E861" s="22">
        <f>IFERROR(+VLOOKUP(C861,Master!B:C,2,0),"")</f>
        <v/>
      </c>
      <c r="F861" s="23">
        <f>LOOKUP(2,1/((Purchase!$D$1:$D$500=C861)*(Purchase!$A$1:$A$500&lt;=A861)),Purchase!$G$1:$G$500)</f>
        <v/>
      </c>
      <c r="G861" s="23">
        <f>+D861*F861</f>
        <v/>
      </c>
    </row>
    <row r="862">
      <c r="A862" s="8" t="n"/>
      <c r="B862" s="8" t="n"/>
      <c r="C862" s="21" t="n"/>
      <c r="D862" s="22" t="n"/>
      <c r="E862" s="22">
        <f>IFERROR(+VLOOKUP(C862,Master!B:C,2,0),"")</f>
        <v/>
      </c>
      <c r="F862" s="23">
        <f>LOOKUP(2,1/((Purchase!$D$1:$D$500=C862)*(Purchase!$A$1:$A$500&lt;=A862)),Purchase!$G$1:$G$500)</f>
        <v/>
      </c>
      <c r="G862" s="23">
        <f>+D862*F862</f>
        <v/>
      </c>
    </row>
    <row r="863">
      <c r="A863" s="8" t="n"/>
      <c r="B863" s="8" t="n"/>
      <c r="C863" s="21" t="n"/>
      <c r="D863" s="22" t="n"/>
      <c r="E863" s="22">
        <f>IFERROR(+VLOOKUP(C863,Master!B:C,2,0),"")</f>
        <v/>
      </c>
      <c r="F863" s="23">
        <f>LOOKUP(2,1/((Purchase!$D$1:$D$500=C863)*(Purchase!$A$1:$A$500&lt;=A863)),Purchase!$G$1:$G$500)</f>
        <v/>
      </c>
      <c r="G863" s="23">
        <f>+D863*F863</f>
        <v/>
      </c>
    </row>
    <row r="864">
      <c r="A864" s="8" t="n"/>
      <c r="B864" s="8" t="n"/>
      <c r="C864" s="21" t="n"/>
      <c r="D864" s="22" t="n"/>
      <c r="E864" s="22">
        <f>IFERROR(+VLOOKUP(C864,Master!B:C,2,0),"")</f>
        <v/>
      </c>
      <c r="F864" s="23">
        <f>LOOKUP(2,1/((Purchase!$D$1:$D$500=C864)*(Purchase!$A$1:$A$500&lt;=A864)),Purchase!$G$1:$G$500)</f>
        <v/>
      </c>
      <c r="G864" s="23">
        <f>+D864*F864</f>
        <v/>
      </c>
    </row>
    <row r="865">
      <c r="A865" s="8" t="n"/>
      <c r="B865" s="8" t="n"/>
      <c r="C865" s="21" t="n"/>
      <c r="D865" s="22" t="n"/>
      <c r="E865" s="22">
        <f>IFERROR(+VLOOKUP(C865,Master!B:C,2,0),"")</f>
        <v/>
      </c>
      <c r="F865" s="23">
        <f>LOOKUP(2,1/((Purchase!$D$1:$D$500=C865)*(Purchase!$A$1:$A$500&lt;=A865)),Purchase!$G$1:$G$500)</f>
        <v/>
      </c>
      <c r="G865" s="23">
        <f>+D865*F865</f>
        <v/>
      </c>
    </row>
    <row r="866">
      <c r="A866" s="8" t="n"/>
      <c r="B866" s="8" t="n"/>
      <c r="C866" s="21" t="n"/>
      <c r="D866" s="22" t="n"/>
      <c r="E866" s="22">
        <f>IFERROR(+VLOOKUP(C866,Master!B:C,2,0),"")</f>
        <v/>
      </c>
      <c r="F866" s="23">
        <f>LOOKUP(2,1/((Purchase!$D$1:$D$500=C866)*(Purchase!$A$1:$A$500&lt;=A866)),Purchase!$G$1:$G$500)</f>
        <v/>
      </c>
      <c r="G866" s="23">
        <f>+D866*F866</f>
        <v/>
      </c>
    </row>
    <row r="867">
      <c r="A867" s="8" t="n"/>
      <c r="B867" s="8" t="n"/>
      <c r="C867" s="21" t="n"/>
      <c r="D867" s="22" t="n"/>
      <c r="E867" s="22">
        <f>IFERROR(+VLOOKUP(C867,Master!B:C,2,0),"")</f>
        <v/>
      </c>
      <c r="F867" s="23">
        <f>LOOKUP(2,1/((Purchase!$D$1:$D$500=C867)*(Purchase!$A$1:$A$500&lt;=A867)),Purchase!$G$1:$G$500)</f>
        <v/>
      </c>
      <c r="G867" s="23">
        <f>+D867*F867</f>
        <v/>
      </c>
    </row>
    <row r="868">
      <c r="A868" s="8" t="n"/>
      <c r="B868" s="8" t="n"/>
      <c r="C868" s="21" t="n"/>
      <c r="D868" s="22" t="n"/>
      <c r="E868" s="22">
        <f>IFERROR(+VLOOKUP(C868,Master!B:C,2,0),"")</f>
        <v/>
      </c>
      <c r="F868" s="23">
        <f>LOOKUP(2,1/((Purchase!$D$1:$D$500=C868)*(Purchase!$A$1:$A$500&lt;=A868)),Purchase!$G$1:$G$500)</f>
        <v/>
      </c>
      <c r="G868" s="23">
        <f>+D868*F868</f>
        <v/>
      </c>
    </row>
    <row r="869">
      <c r="A869" s="8" t="n"/>
      <c r="B869" s="8" t="n"/>
      <c r="C869" s="21" t="n"/>
      <c r="D869" s="22" t="n"/>
      <c r="E869" s="22">
        <f>IFERROR(+VLOOKUP(C869,Master!B:C,2,0),"")</f>
        <v/>
      </c>
      <c r="F869" s="23">
        <f>LOOKUP(2,1/((Purchase!$D$1:$D$500=C869)*(Purchase!$A$1:$A$500&lt;=A869)),Purchase!$G$1:$G$500)</f>
        <v/>
      </c>
      <c r="G869" s="23">
        <f>+D869*F869</f>
        <v/>
      </c>
    </row>
    <row r="870">
      <c r="A870" s="8" t="n"/>
      <c r="B870" s="8" t="n"/>
      <c r="C870" s="21" t="n"/>
      <c r="D870" s="22" t="n"/>
      <c r="E870" s="22">
        <f>IFERROR(+VLOOKUP(C870,Master!B:C,2,0),"")</f>
        <v/>
      </c>
      <c r="F870" s="23">
        <f>LOOKUP(2,1/((Purchase!$D$1:$D$500=C870)*(Purchase!$A$1:$A$500&lt;=A870)),Purchase!$G$1:$G$500)</f>
        <v/>
      </c>
      <c r="G870" s="23">
        <f>+D870*F870</f>
        <v/>
      </c>
    </row>
    <row r="871">
      <c r="A871" s="8" t="n"/>
      <c r="B871" s="8" t="n"/>
      <c r="C871" s="21" t="n"/>
      <c r="D871" s="22" t="n"/>
      <c r="E871" s="22">
        <f>IFERROR(+VLOOKUP(C871,Master!B:C,2,0),"")</f>
        <v/>
      </c>
      <c r="F871" s="23">
        <f>LOOKUP(2,1/((Purchase!$D$1:$D$500=C871)*(Purchase!$A$1:$A$500&lt;=A871)),Purchase!$G$1:$G$500)</f>
        <v/>
      </c>
      <c r="G871" s="23">
        <f>+D871*F871</f>
        <v/>
      </c>
    </row>
    <row r="872">
      <c r="A872" s="8" t="n"/>
      <c r="B872" s="8" t="n"/>
      <c r="C872" s="21" t="n"/>
      <c r="D872" s="22" t="n"/>
      <c r="E872" s="22">
        <f>IFERROR(+VLOOKUP(C872,Master!B:C,2,0),"")</f>
        <v/>
      </c>
      <c r="F872" s="23">
        <f>LOOKUP(2,1/((Purchase!$D$1:$D$500=C872)*(Purchase!$A$1:$A$500&lt;=A872)),Purchase!$G$1:$G$500)</f>
        <v/>
      </c>
      <c r="G872" s="23">
        <f>+D872*F872</f>
        <v/>
      </c>
    </row>
    <row r="873">
      <c r="A873" s="8" t="n"/>
      <c r="B873" s="8" t="n"/>
      <c r="C873" s="21" t="n"/>
      <c r="D873" s="22" t="n"/>
      <c r="E873" s="22">
        <f>IFERROR(+VLOOKUP(C873,Master!B:C,2,0),"")</f>
        <v/>
      </c>
      <c r="F873" s="23">
        <f>LOOKUP(2,1/((Purchase!$D$1:$D$500=C873)*(Purchase!$A$1:$A$500&lt;=A873)),Purchase!$G$1:$G$500)</f>
        <v/>
      </c>
      <c r="G873" s="23">
        <f>+D873*F873</f>
        <v/>
      </c>
    </row>
    <row r="874">
      <c r="A874" s="8" t="n"/>
      <c r="B874" s="8" t="n"/>
      <c r="C874" s="21" t="n"/>
      <c r="D874" s="22" t="n"/>
      <c r="E874" s="22">
        <f>IFERROR(+VLOOKUP(C874,Master!B:C,2,0),"")</f>
        <v/>
      </c>
      <c r="F874" s="23">
        <f>LOOKUP(2,1/((Purchase!$D$1:$D$500=C874)*(Purchase!$A$1:$A$500&lt;=A874)),Purchase!$G$1:$G$500)</f>
        <v/>
      </c>
      <c r="G874" s="23">
        <f>+D874*F874</f>
        <v/>
      </c>
    </row>
    <row r="875">
      <c r="A875" s="8" t="n"/>
      <c r="B875" s="8" t="n"/>
      <c r="C875" s="21" t="n"/>
      <c r="D875" s="22" t="n"/>
      <c r="E875" s="22">
        <f>IFERROR(+VLOOKUP(C875,Master!B:C,2,0),"")</f>
        <v/>
      </c>
      <c r="F875" s="23">
        <f>LOOKUP(2,1/((Purchase!$D$1:$D$500=C875)*(Purchase!$A$1:$A$500&lt;=A875)),Purchase!$G$1:$G$500)</f>
        <v/>
      </c>
      <c r="G875" s="23">
        <f>+D875*F875</f>
        <v/>
      </c>
    </row>
    <row r="876">
      <c r="A876" s="8" t="n"/>
      <c r="B876" s="8" t="n"/>
      <c r="C876" s="21" t="n"/>
      <c r="D876" s="22" t="n"/>
      <c r="E876" s="22">
        <f>IFERROR(+VLOOKUP(C876,Master!B:C,2,0),"")</f>
        <v/>
      </c>
      <c r="F876" s="23">
        <f>LOOKUP(2,1/((Purchase!$D$1:$D$500=C876)*(Purchase!$A$1:$A$500&lt;=A876)),Purchase!$G$1:$G$500)</f>
        <v/>
      </c>
      <c r="G876" s="23">
        <f>+D876*F876</f>
        <v/>
      </c>
    </row>
    <row r="877">
      <c r="A877" s="8" t="n"/>
      <c r="B877" s="8" t="n"/>
      <c r="C877" s="21" t="n"/>
      <c r="D877" s="22" t="n"/>
      <c r="E877" s="22">
        <f>IFERROR(+VLOOKUP(C877,Master!B:C,2,0),"")</f>
        <v/>
      </c>
      <c r="F877" s="23">
        <f>LOOKUP(2,1/((Purchase!$D$1:$D$500=C877)*(Purchase!$A$1:$A$500&lt;=A877)),Purchase!$G$1:$G$500)</f>
        <v/>
      </c>
      <c r="G877" s="23">
        <f>+D877*F877</f>
        <v/>
      </c>
    </row>
    <row r="878">
      <c r="A878" s="8" t="n"/>
      <c r="B878" s="8" t="n"/>
      <c r="C878" s="21" t="n"/>
      <c r="D878" s="22" t="n"/>
      <c r="E878" s="22">
        <f>IFERROR(+VLOOKUP(C878,Master!B:C,2,0),"")</f>
        <v/>
      </c>
      <c r="F878" s="23">
        <f>LOOKUP(2,1/((Purchase!$D$1:$D$500=C878)*(Purchase!$A$1:$A$500&lt;=A878)),Purchase!$G$1:$G$500)</f>
        <v/>
      </c>
      <c r="G878" s="23">
        <f>+D878*F878</f>
        <v/>
      </c>
    </row>
    <row r="879">
      <c r="A879" s="8" t="n"/>
      <c r="B879" s="8" t="n"/>
      <c r="C879" s="21" t="n"/>
      <c r="D879" s="22" t="n"/>
      <c r="E879" s="22">
        <f>IFERROR(+VLOOKUP(C879,Master!B:C,2,0),"")</f>
        <v/>
      </c>
      <c r="F879" s="23">
        <f>LOOKUP(2,1/((Purchase!$D$1:$D$500=C879)*(Purchase!$A$1:$A$500&lt;=A879)),Purchase!$G$1:$G$500)</f>
        <v/>
      </c>
      <c r="G879" s="23">
        <f>+D879*F879</f>
        <v/>
      </c>
    </row>
    <row r="880">
      <c r="A880" s="8" t="n"/>
      <c r="B880" s="8" t="n"/>
      <c r="C880" s="21" t="n"/>
      <c r="D880" s="22" t="n"/>
      <c r="E880" s="22">
        <f>IFERROR(+VLOOKUP(C880,Master!B:C,2,0),"")</f>
        <v/>
      </c>
      <c r="F880" s="23">
        <f>LOOKUP(2,1/((Purchase!$D$1:$D$500=C880)*(Purchase!$A$1:$A$500&lt;=A880)),Purchase!$G$1:$G$500)</f>
        <v/>
      </c>
      <c r="G880" s="23">
        <f>+D880*F880</f>
        <v/>
      </c>
    </row>
    <row r="881">
      <c r="A881" s="8" t="n"/>
      <c r="B881" s="8" t="n"/>
      <c r="C881" s="21" t="n"/>
      <c r="D881" s="22" t="n"/>
      <c r="E881" s="22">
        <f>IFERROR(+VLOOKUP(C881,Master!B:C,2,0),"")</f>
        <v/>
      </c>
      <c r="F881" s="23">
        <f>LOOKUP(2,1/((Purchase!$D$1:$D$500=C881)*(Purchase!$A$1:$A$500&lt;=A881)),Purchase!$G$1:$G$500)</f>
        <v/>
      </c>
      <c r="G881" s="23">
        <f>+D881*F881</f>
        <v/>
      </c>
    </row>
    <row r="882">
      <c r="A882" s="8" t="n"/>
      <c r="B882" s="8" t="n"/>
      <c r="C882" s="21" t="n"/>
      <c r="D882" s="22" t="n"/>
      <c r="E882" s="22">
        <f>IFERROR(+VLOOKUP(C882,Master!B:C,2,0),"")</f>
        <v/>
      </c>
      <c r="F882" s="23">
        <f>LOOKUP(2,1/((Purchase!$D$1:$D$500=C882)*(Purchase!$A$1:$A$500&lt;=A882)),Purchase!$G$1:$G$500)</f>
        <v/>
      </c>
      <c r="G882" s="23">
        <f>+D882*F882</f>
        <v/>
      </c>
    </row>
    <row r="883">
      <c r="A883" s="8" t="n"/>
      <c r="B883" s="8" t="n"/>
      <c r="C883" s="21" t="n"/>
      <c r="D883" s="22" t="n"/>
      <c r="E883" s="22">
        <f>IFERROR(+VLOOKUP(C883,Master!B:C,2,0),"")</f>
        <v/>
      </c>
      <c r="F883" s="23">
        <f>LOOKUP(2,1/((Purchase!$D$1:$D$500=C883)*(Purchase!$A$1:$A$500&lt;=A883)),Purchase!$G$1:$G$500)</f>
        <v/>
      </c>
      <c r="G883" s="23">
        <f>+D883*F883</f>
        <v/>
      </c>
    </row>
    <row r="884">
      <c r="A884" s="8" t="n"/>
      <c r="B884" s="8" t="n"/>
      <c r="C884" s="21" t="n"/>
      <c r="D884" s="22" t="n"/>
      <c r="E884" s="22">
        <f>IFERROR(+VLOOKUP(C884,Master!B:C,2,0),"")</f>
        <v/>
      </c>
      <c r="F884" s="23">
        <f>LOOKUP(2,1/((Purchase!$D$1:$D$500=C884)*(Purchase!$A$1:$A$500&lt;=A884)),Purchase!$G$1:$G$500)</f>
        <v/>
      </c>
      <c r="G884" s="23">
        <f>+D884*F884</f>
        <v/>
      </c>
    </row>
    <row r="885">
      <c r="A885" s="8" t="n"/>
      <c r="B885" s="8" t="n"/>
      <c r="C885" s="21" t="n"/>
      <c r="D885" s="22" t="n"/>
      <c r="E885" s="22">
        <f>IFERROR(+VLOOKUP(C885,Master!B:C,2,0),"")</f>
        <v/>
      </c>
      <c r="F885" s="23">
        <f>LOOKUP(2,1/((Purchase!$D$1:$D$500=C885)*(Purchase!$A$1:$A$500&lt;=A885)),Purchase!$G$1:$G$500)</f>
        <v/>
      </c>
      <c r="G885" s="23">
        <f>+D885*F885</f>
        <v/>
      </c>
    </row>
    <row r="886">
      <c r="A886" s="8" t="n"/>
      <c r="B886" s="8" t="n"/>
      <c r="C886" s="21" t="n"/>
      <c r="D886" s="22" t="n"/>
      <c r="E886" s="22">
        <f>IFERROR(+VLOOKUP(C886,Master!B:C,2,0),"")</f>
        <v/>
      </c>
      <c r="F886" s="23">
        <f>LOOKUP(2,1/((Purchase!$D$1:$D$500=C886)*(Purchase!$A$1:$A$500&lt;=A886)),Purchase!$G$1:$G$500)</f>
        <v/>
      </c>
      <c r="G886" s="23">
        <f>+D886*F886</f>
        <v/>
      </c>
    </row>
    <row r="887">
      <c r="A887" s="8" t="n"/>
      <c r="B887" s="8" t="n"/>
      <c r="C887" s="21" t="n"/>
      <c r="D887" s="22" t="n"/>
      <c r="E887" s="22">
        <f>IFERROR(+VLOOKUP(C887,Master!B:C,2,0),"")</f>
        <v/>
      </c>
      <c r="F887" s="23">
        <f>LOOKUP(2,1/((Purchase!$D$1:$D$500=C887)*(Purchase!$A$1:$A$500&lt;=A887)),Purchase!$G$1:$G$500)</f>
        <v/>
      </c>
      <c r="G887" s="23">
        <f>+D887*F887</f>
        <v/>
      </c>
    </row>
    <row r="888">
      <c r="A888" s="8" t="n"/>
      <c r="B888" s="8" t="n"/>
      <c r="C888" s="21" t="n"/>
      <c r="D888" s="22" t="n"/>
      <c r="E888" s="22">
        <f>IFERROR(+VLOOKUP(C888,Master!B:C,2,0),"")</f>
        <v/>
      </c>
      <c r="F888" s="23">
        <f>LOOKUP(2,1/((Purchase!$D$1:$D$500=C888)*(Purchase!$A$1:$A$500&lt;=A888)),Purchase!$G$1:$G$500)</f>
        <v/>
      </c>
      <c r="G888" s="23">
        <f>+D888*F888</f>
        <v/>
      </c>
    </row>
    <row r="889">
      <c r="A889" s="8" t="n"/>
      <c r="B889" s="8" t="n"/>
      <c r="C889" s="21" t="n"/>
      <c r="D889" s="22" t="n"/>
      <c r="E889" s="22">
        <f>IFERROR(+VLOOKUP(C889,Master!B:C,2,0),"")</f>
        <v/>
      </c>
      <c r="F889" s="23">
        <f>LOOKUP(2,1/((Purchase!$D$1:$D$500=C889)*(Purchase!$A$1:$A$500&lt;=A889)),Purchase!$G$1:$G$500)</f>
        <v/>
      </c>
      <c r="G889" s="23">
        <f>+D889*F889</f>
        <v/>
      </c>
    </row>
    <row r="890">
      <c r="A890" s="8" t="n"/>
      <c r="B890" s="8" t="n"/>
      <c r="C890" s="21" t="n"/>
      <c r="D890" s="22" t="n"/>
      <c r="E890" s="22">
        <f>IFERROR(+VLOOKUP(C890,Master!B:C,2,0),"")</f>
        <v/>
      </c>
      <c r="F890" s="23">
        <f>LOOKUP(2,1/((Purchase!$D$1:$D$500=C890)*(Purchase!$A$1:$A$500&lt;=A890)),Purchase!$G$1:$G$500)</f>
        <v/>
      </c>
      <c r="G890" s="23">
        <f>+D890*F890</f>
        <v/>
      </c>
    </row>
    <row r="891">
      <c r="A891" s="8" t="n"/>
      <c r="B891" s="8" t="n"/>
      <c r="C891" s="21" t="n"/>
      <c r="D891" s="22" t="n"/>
      <c r="E891" s="22">
        <f>IFERROR(+VLOOKUP(C891,Master!B:C,2,0),"")</f>
        <v/>
      </c>
      <c r="F891" s="23">
        <f>LOOKUP(2,1/((Purchase!$D$1:$D$500=C891)*(Purchase!$A$1:$A$500&lt;=A891)),Purchase!$G$1:$G$500)</f>
        <v/>
      </c>
      <c r="G891" s="23">
        <f>+D891*F891</f>
        <v/>
      </c>
    </row>
    <row r="892">
      <c r="A892" s="8" t="n"/>
      <c r="B892" s="8" t="n"/>
      <c r="C892" s="21" t="n"/>
      <c r="D892" s="22" t="n"/>
      <c r="E892" s="22">
        <f>IFERROR(+VLOOKUP(C892,Master!B:C,2,0),"")</f>
        <v/>
      </c>
      <c r="F892" s="23">
        <f>LOOKUP(2,1/((Purchase!$D$1:$D$500=C892)*(Purchase!$A$1:$A$500&lt;=A892)),Purchase!$G$1:$G$500)</f>
        <v/>
      </c>
      <c r="G892" s="23">
        <f>+D892*F892</f>
        <v/>
      </c>
    </row>
    <row r="893">
      <c r="A893" s="8" t="n"/>
      <c r="B893" s="8" t="n"/>
      <c r="C893" s="21" t="n"/>
      <c r="D893" s="22" t="n"/>
      <c r="E893" s="22">
        <f>IFERROR(+VLOOKUP(C893,Master!B:C,2,0),"")</f>
        <v/>
      </c>
      <c r="F893" s="23">
        <f>LOOKUP(2,1/((Purchase!$D$1:$D$500=C893)*(Purchase!$A$1:$A$500&lt;=A893)),Purchase!$G$1:$G$500)</f>
        <v/>
      </c>
      <c r="G893" s="23">
        <f>+D893*F893</f>
        <v/>
      </c>
    </row>
    <row r="894">
      <c r="A894" s="8" t="n"/>
      <c r="B894" s="8" t="n"/>
      <c r="C894" s="21" t="n"/>
      <c r="D894" s="22" t="n"/>
      <c r="E894" s="22">
        <f>IFERROR(+VLOOKUP(C894,Master!B:C,2,0),"")</f>
        <v/>
      </c>
      <c r="F894" s="23">
        <f>LOOKUP(2,1/((Purchase!$D$1:$D$500=C894)*(Purchase!$A$1:$A$500&lt;=A894)),Purchase!$G$1:$G$500)</f>
        <v/>
      </c>
      <c r="G894" s="23">
        <f>+D894*F894</f>
        <v/>
      </c>
    </row>
    <row r="895">
      <c r="A895" s="8" t="n"/>
      <c r="B895" s="8" t="n"/>
      <c r="C895" s="21" t="n"/>
      <c r="D895" s="22" t="n"/>
      <c r="E895" s="22">
        <f>IFERROR(+VLOOKUP(C895,Master!B:C,2,0),"")</f>
        <v/>
      </c>
      <c r="F895" s="23">
        <f>LOOKUP(2,1/((Purchase!$D$1:$D$500=C895)*(Purchase!$A$1:$A$500&lt;=A895)),Purchase!$G$1:$G$500)</f>
        <v/>
      </c>
      <c r="G895" s="23">
        <f>+D895*F895</f>
        <v/>
      </c>
    </row>
    <row r="896">
      <c r="A896" s="8" t="n"/>
      <c r="B896" s="8" t="n"/>
      <c r="C896" s="21" t="n"/>
      <c r="D896" s="22" t="n"/>
      <c r="E896" s="22">
        <f>IFERROR(+VLOOKUP(C896,Master!B:C,2,0),"")</f>
        <v/>
      </c>
      <c r="F896" s="23">
        <f>LOOKUP(2,1/((Purchase!$D$1:$D$500=C896)*(Purchase!$A$1:$A$500&lt;=A896)),Purchase!$G$1:$G$500)</f>
        <v/>
      </c>
      <c r="G896" s="23">
        <f>+D896*F896</f>
        <v/>
      </c>
    </row>
    <row r="897">
      <c r="A897" s="8" t="n"/>
      <c r="B897" s="8" t="n"/>
      <c r="C897" s="21" t="n"/>
      <c r="D897" s="22" t="n"/>
      <c r="E897" s="22">
        <f>IFERROR(+VLOOKUP(C897,Master!B:C,2,0),"")</f>
        <v/>
      </c>
      <c r="F897" s="23">
        <f>LOOKUP(2,1/((Purchase!$D$1:$D$500=C897)*(Purchase!$A$1:$A$500&lt;=A897)),Purchase!$G$1:$G$500)</f>
        <v/>
      </c>
      <c r="G897" s="23">
        <f>+D897*F897</f>
        <v/>
      </c>
    </row>
    <row r="898">
      <c r="A898" s="8" t="n"/>
      <c r="B898" s="8" t="n"/>
      <c r="C898" s="21" t="n"/>
      <c r="D898" s="22" t="n"/>
      <c r="E898" s="22">
        <f>IFERROR(+VLOOKUP(C898,Master!B:C,2,0),"")</f>
        <v/>
      </c>
      <c r="F898" s="23">
        <f>LOOKUP(2,1/((Purchase!$D$1:$D$500=C898)*(Purchase!$A$1:$A$500&lt;=A898)),Purchase!$G$1:$G$500)</f>
        <v/>
      </c>
      <c r="G898" s="23">
        <f>+D898*F898</f>
        <v/>
      </c>
    </row>
    <row r="899">
      <c r="A899" s="8" t="n"/>
      <c r="B899" s="8" t="n"/>
      <c r="C899" s="21" t="n"/>
      <c r="D899" s="22" t="n"/>
      <c r="E899" s="22">
        <f>IFERROR(+VLOOKUP(C899,Master!B:C,2,0),"")</f>
        <v/>
      </c>
      <c r="F899" s="23">
        <f>LOOKUP(2,1/((Purchase!$D$1:$D$500=C899)*(Purchase!$A$1:$A$500&lt;=A899)),Purchase!$G$1:$G$500)</f>
        <v/>
      </c>
      <c r="G899" s="23">
        <f>+D899*F899</f>
        <v/>
      </c>
    </row>
    <row r="900">
      <c r="A900" s="8" t="n"/>
      <c r="B900" s="8" t="n"/>
      <c r="C900" s="21" t="n"/>
      <c r="D900" s="22" t="n"/>
      <c r="E900" s="22">
        <f>IFERROR(+VLOOKUP(C900,Master!B:C,2,0),"")</f>
        <v/>
      </c>
      <c r="F900" s="23">
        <f>LOOKUP(2,1/((Purchase!$D$1:$D$500=C900)*(Purchase!$A$1:$A$500&lt;=A900)),Purchase!$G$1:$G$500)</f>
        <v/>
      </c>
      <c r="G900" s="23">
        <f>+D900*F900</f>
        <v/>
      </c>
    </row>
    <row r="901">
      <c r="A901" s="8" t="n"/>
      <c r="B901" s="8" t="n"/>
      <c r="C901" s="21" t="n"/>
      <c r="D901" s="22" t="n"/>
      <c r="E901" s="22">
        <f>IFERROR(+VLOOKUP(C901,Master!B:C,2,0),"")</f>
        <v/>
      </c>
      <c r="F901" s="23">
        <f>LOOKUP(2,1/((Purchase!$D$1:$D$500=C901)*(Purchase!$A$1:$A$500&lt;=A901)),Purchase!$G$1:$G$500)</f>
        <v/>
      </c>
      <c r="G901" s="23">
        <f>+D901*F901</f>
        <v/>
      </c>
    </row>
    <row r="902">
      <c r="A902" s="8" t="n"/>
      <c r="B902" s="8" t="n"/>
      <c r="C902" s="21" t="n"/>
      <c r="D902" s="22" t="n"/>
      <c r="E902" s="22">
        <f>IFERROR(+VLOOKUP(C902,Master!B:C,2,0),"")</f>
        <v/>
      </c>
      <c r="F902" s="23">
        <f>LOOKUP(2,1/((Purchase!$D$1:$D$500=C902)*(Purchase!$A$1:$A$500&lt;=A902)),Purchase!$G$1:$G$500)</f>
        <v/>
      </c>
      <c r="G902" s="23">
        <f>+D902*F902</f>
        <v/>
      </c>
    </row>
    <row r="903">
      <c r="A903" s="8" t="n"/>
      <c r="B903" s="8" t="n"/>
      <c r="C903" s="21" t="n"/>
      <c r="D903" s="22" t="n"/>
      <c r="E903" s="22">
        <f>IFERROR(+VLOOKUP(C903,Master!B:C,2,0),"")</f>
        <v/>
      </c>
      <c r="F903" s="23">
        <f>LOOKUP(2,1/((Purchase!$D$1:$D$500=C903)*(Purchase!$A$1:$A$500&lt;=A903)),Purchase!$G$1:$G$500)</f>
        <v/>
      </c>
      <c r="G903" s="23">
        <f>+D903*F903</f>
        <v/>
      </c>
    </row>
    <row r="904">
      <c r="A904" s="8" t="n"/>
      <c r="B904" s="8" t="n"/>
      <c r="C904" s="21" t="n"/>
      <c r="D904" s="22" t="n"/>
      <c r="E904" s="22">
        <f>IFERROR(+VLOOKUP(C904,Master!B:C,2,0),"")</f>
        <v/>
      </c>
      <c r="F904" s="23">
        <f>LOOKUP(2,1/((Purchase!$D$1:$D$500=C904)*(Purchase!$A$1:$A$500&lt;=A904)),Purchase!$G$1:$G$500)</f>
        <v/>
      </c>
      <c r="G904" s="23">
        <f>+D904*F904</f>
        <v/>
      </c>
    </row>
    <row r="905">
      <c r="A905" s="8" t="n"/>
      <c r="B905" s="8" t="n"/>
      <c r="C905" s="21" t="n"/>
      <c r="D905" s="22" t="n"/>
      <c r="E905" s="22">
        <f>IFERROR(+VLOOKUP(C905,Master!B:C,2,0),"")</f>
        <v/>
      </c>
      <c r="F905" s="23">
        <f>LOOKUP(2,1/((Purchase!$D$1:$D$500=C905)*(Purchase!$A$1:$A$500&lt;=A905)),Purchase!$G$1:$G$500)</f>
        <v/>
      </c>
      <c r="G905" s="23">
        <f>+D905*F905</f>
        <v/>
      </c>
    </row>
    <row r="906">
      <c r="A906" s="8" t="n"/>
      <c r="B906" s="8" t="n"/>
      <c r="C906" s="21" t="n"/>
      <c r="D906" s="22" t="n"/>
      <c r="E906" s="22">
        <f>IFERROR(+VLOOKUP(C906,Master!B:C,2,0),"")</f>
        <v/>
      </c>
      <c r="F906" s="23">
        <f>LOOKUP(2,1/((Purchase!$D$1:$D$500=C906)*(Purchase!$A$1:$A$500&lt;=A906)),Purchase!$G$1:$G$500)</f>
        <v/>
      </c>
      <c r="G906" s="23">
        <f>+D906*F906</f>
        <v/>
      </c>
    </row>
    <row r="907">
      <c r="A907" s="8" t="n"/>
      <c r="B907" s="8" t="n"/>
      <c r="C907" s="21" t="n"/>
      <c r="D907" s="22" t="n"/>
      <c r="E907" s="22">
        <f>IFERROR(+VLOOKUP(C907,Master!B:C,2,0),"")</f>
        <v/>
      </c>
      <c r="F907" s="23">
        <f>LOOKUP(2,1/((Purchase!$D$1:$D$500=C907)*(Purchase!$A$1:$A$500&lt;=A907)),Purchase!$G$1:$G$500)</f>
        <v/>
      </c>
      <c r="G907" s="23">
        <f>+D907*F907</f>
        <v/>
      </c>
    </row>
    <row r="908">
      <c r="A908" s="8" t="n"/>
      <c r="B908" s="8" t="n"/>
      <c r="C908" s="21" t="n"/>
      <c r="D908" s="22" t="n"/>
      <c r="E908" s="22">
        <f>IFERROR(+VLOOKUP(C908,Master!B:C,2,0),"")</f>
        <v/>
      </c>
      <c r="F908" s="23">
        <f>LOOKUP(2,1/((Purchase!$D$1:$D$500=C908)*(Purchase!$A$1:$A$500&lt;=A908)),Purchase!$G$1:$G$500)</f>
        <v/>
      </c>
      <c r="G908" s="23">
        <f>+D908*F908</f>
        <v/>
      </c>
    </row>
    <row r="909">
      <c r="A909" s="8" t="n"/>
      <c r="B909" s="8" t="n"/>
      <c r="C909" s="21" t="n"/>
      <c r="D909" s="22" t="n"/>
      <c r="E909" s="22">
        <f>IFERROR(+VLOOKUP(C909,Master!B:C,2,0),"")</f>
        <v/>
      </c>
      <c r="F909" s="23">
        <f>LOOKUP(2,1/((Purchase!$D$1:$D$500=C909)*(Purchase!$A$1:$A$500&lt;=A909)),Purchase!$G$1:$G$500)</f>
        <v/>
      </c>
      <c r="G909" s="23">
        <f>+D909*F909</f>
        <v/>
      </c>
    </row>
    <row r="910">
      <c r="A910" s="8" t="n"/>
      <c r="B910" s="8" t="n"/>
      <c r="C910" s="21" t="n"/>
      <c r="D910" s="22" t="n"/>
      <c r="E910" s="22">
        <f>IFERROR(+VLOOKUP(C910,Master!B:C,2,0),"")</f>
        <v/>
      </c>
      <c r="F910" s="23">
        <f>LOOKUP(2,1/((Purchase!$D$1:$D$500=C910)*(Purchase!$A$1:$A$500&lt;=A910)),Purchase!$G$1:$G$500)</f>
        <v/>
      </c>
      <c r="G910" s="23">
        <f>+D910*F910</f>
        <v/>
      </c>
    </row>
    <row r="911">
      <c r="A911" s="8" t="n"/>
      <c r="B911" s="8" t="n"/>
      <c r="C911" s="21" t="n"/>
      <c r="D911" s="22" t="n"/>
      <c r="E911" s="22">
        <f>IFERROR(+VLOOKUP(C911,Master!B:C,2,0),"")</f>
        <v/>
      </c>
      <c r="F911" s="23">
        <f>LOOKUP(2,1/((Purchase!$D$1:$D$500=C911)*(Purchase!$A$1:$A$500&lt;=A911)),Purchase!$G$1:$G$500)</f>
        <v/>
      </c>
      <c r="G911" s="23">
        <f>+D911*F911</f>
        <v/>
      </c>
    </row>
    <row r="912">
      <c r="A912" s="8" t="n"/>
      <c r="B912" s="8" t="n"/>
      <c r="C912" s="21" t="n"/>
      <c r="D912" s="22" t="n"/>
      <c r="E912" s="22">
        <f>IFERROR(+VLOOKUP(C912,Master!B:C,2,0),"")</f>
        <v/>
      </c>
      <c r="F912" s="23">
        <f>LOOKUP(2,1/((Purchase!$D$1:$D$500=C912)*(Purchase!$A$1:$A$500&lt;=A912)),Purchase!$G$1:$G$500)</f>
        <v/>
      </c>
      <c r="G912" s="23">
        <f>+D912*F912</f>
        <v/>
      </c>
    </row>
    <row r="913">
      <c r="A913" s="8" t="n"/>
      <c r="B913" s="8" t="n"/>
      <c r="C913" s="21" t="n"/>
      <c r="D913" s="22" t="n"/>
      <c r="E913" s="22">
        <f>IFERROR(+VLOOKUP(C913,Master!B:C,2,0),"")</f>
        <v/>
      </c>
      <c r="F913" s="23">
        <f>LOOKUP(2,1/((Purchase!$D$1:$D$500=C913)*(Purchase!$A$1:$A$500&lt;=A913)),Purchase!$G$1:$G$500)</f>
        <v/>
      </c>
      <c r="G913" s="23">
        <f>+D913*F913</f>
        <v/>
      </c>
    </row>
    <row r="914">
      <c r="A914" s="8" t="n"/>
      <c r="B914" s="8" t="n"/>
      <c r="C914" s="21" t="n"/>
      <c r="D914" s="22" t="n"/>
      <c r="E914" s="22">
        <f>IFERROR(+VLOOKUP(C914,Master!B:C,2,0),"")</f>
        <v/>
      </c>
      <c r="F914" s="23">
        <f>LOOKUP(2,1/((Purchase!$D$1:$D$500=C914)*(Purchase!$A$1:$A$500&lt;=A914)),Purchase!$G$1:$G$500)</f>
        <v/>
      </c>
      <c r="G914" s="23">
        <f>+D914*F914</f>
        <v/>
      </c>
    </row>
    <row r="915">
      <c r="A915" s="8" t="n"/>
      <c r="B915" s="8" t="n"/>
      <c r="C915" s="21" t="n"/>
      <c r="D915" s="22" t="n"/>
      <c r="E915" s="22">
        <f>IFERROR(+VLOOKUP(C915,Master!B:C,2,0),"")</f>
        <v/>
      </c>
      <c r="F915" s="23">
        <f>LOOKUP(2,1/((Purchase!$D$1:$D$500=C915)*(Purchase!$A$1:$A$500&lt;=A915)),Purchase!$G$1:$G$500)</f>
        <v/>
      </c>
      <c r="G915" s="23">
        <f>+D915*F915</f>
        <v/>
      </c>
    </row>
    <row r="916">
      <c r="A916" s="8" t="n"/>
      <c r="B916" s="8" t="n"/>
      <c r="C916" s="21" t="n"/>
      <c r="D916" s="22" t="n"/>
      <c r="E916" s="22">
        <f>IFERROR(+VLOOKUP(C916,Master!B:C,2,0),"")</f>
        <v/>
      </c>
      <c r="F916" s="23">
        <f>LOOKUP(2,1/((Purchase!$D$1:$D$500=C916)*(Purchase!$A$1:$A$500&lt;=A916)),Purchase!$G$1:$G$500)</f>
        <v/>
      </c>
      <c r="G916" s="23">
        <f>+D916*F916</f>
        <v/>
      </c>
    </row>
    <row r="917">
      <c r="A917" s="8" t="n"/>
      <c r="B917" s="8" t="n"/>
      <c r="C917" s="21" t="n"/>
      <c r="D917" s="22" t="n"/>
      <c r="E917" s="22">
        <f>IFERROR(+VLOOKUP(C917,Master!B:C,2,0),"")</f>
        <v/>
      </c>
      <c r="F917" s="23">
        <f>LOOKUP(2,1/((Purchase!$D$1:$D$500=C917)*(Purchase!$A$1:$A$500&lt;=A917)),Purchase!$G$1:$G$500)</f>
        <v/>
      </c>
      <c r="G917" s="23">
        <f>+D917*F917</f>
        <v/>
      </c>
    </row>
    <row r="918">
      <c r="A918" s="8" t="n"/>
      <c r="B918" s="8" t="n"/>
      <c r="C918" s="21" t="n"/>
      <c r="D918" s="22" t="n"/>
      <c r="E918" s="22">
        <f>IFERROR(+VLOOKUP(C918,Master!B:C,2,0),"")</f>
        <v/>
      </c>
      <c r="F918" s="23">
        <f>LOOKUP(2,1/((Purchase!$D$1:$D$500=C918)*(Purchase!$A$1:$A$500&lt;=A918)),Purchase!$G$1:$G$500)</f>
        <v/>
      </c>
      <c r="G918" s="23">
        <f>+D918*F918</f>
        <v/>
      </c>
    </row>
    <row r="919">
      <c r="A919" s="8" t="n"/>
      <c r="B919" s="8" t="n"/>
      <c r="C919" s="21" t="n"/>
      <c r="D919" s="22" t="n"/>
      <c r="E919" s="22">
        <f>IFERROR(+VLOOKUP(C919,Master!B:C,2,0),"")</f>
        <v/>
      </c>
      <c r="F919" s="23">
        <f>LOOKUP(2,1/((Purchase!$D$1:$D$500=C919)*(Purchase!$A$1:$A$500&lt;=A919)),Purchase!$G$1:$G$500)</f>
        <v/>
      </c>
      <c r="G919" s="23">
        <f>+D919*F919</f>
        <v/>
      </c>
    </row>
    <row r="920">
      <c r="A920" s="8" t="n"/>
      <c r="B920" s="8" t="n"/>
      <c r="C920" s="21" t="n"/>
      <c r="D920" s="22" t="n"/>
      <c r="E920" s="22">
        <f>IFERROR(+VLOOKUP(C920,Master!B:C,2,0),"")</f>
        <v/>
      </c>
      <c r="F920" s="23">
        <f>LOOKUP(2,1/((Purchase!$D$1:$D$500=C920)*(Purchase!$A$1:$A$500&lt;=A920)),Purchase!$G$1:$G$500)</f>
        <v/>
      </c>
      <c r="G920" s="23">
        <f>+D920*F920</f>
        <v/>
      </c>
    </row>
    <row r="921">
      <c r="A921" s="8" t="n"/>
      <c r="B921" s="8" t="n"/>
      <c r="C921" s="21" t="n"/>
      <c r="D921" s="22" t="n"/>
      <c r="E921" s="22">
        <f>IFERROR(+VLOOKUP(C921,Master!B:C,2,0),"")</f>
        <v/>
      </c>
      <c r="F921" s="23">
        <f>LOOKUP(2,1/((Purchase!$D$1:$D$500=C921)*(Purchase!$A$1:$A$500&lt;=A921)),Purchase!$G$1:$G$500)</f>
        <v/>
      </c>
      <c r="G921" s="23">
        <f>+D921*F921</f>
        <v/>
      </c>
    </row>
    <row r="922">
      <c r="A922" s="8" t="n"/>
      <c r="B922" s="8" t="n"/>
      <c r="C922" s="21" t="n"/>
      <c r="D922" s="22" t="n"/>
      <c r="E922" s="22">
        <f>IFERROR(+VLOOKUP(C922,Master!B:C,2,0),"")</f>
        <v/>
      </c>
      <c r="F922" s="23">
        <f>LOOKUP(2,1/((Purchase!$D$1:$D$500=C922)*(Purchase!$A$1:$A$500&lt;=A922)),Purchase!$G$1:$G$500)</f>
        <v/>
      </c>
      <c r="G922" s="23">
        <f>+D922*F922</f>
        <v/>
      </c>
    </row>
    <row r="923">
      <c r="A923" s="8" t="n"/>
      <c r="B923" s="8" t="n"/>
      <c r="C923" s="21" t="n"/>
      <c r="D923" s="22" t="n"/>
      <c r="E923" s="22">
        <f>IFERROR(+VLOOKUP(C923,Master!B:C,2,0),"")</f>
        <v/>
      </c>
      <c r="F923" s="23">
        <f>LOOKUP(2,1/((Purchase!$D$1:$D$500=C923)*(Purchase!$A$1:$A$500&lt;=A923)),Purchase!$G$1:$G$500)</f>
        <v/>
      </c>
      <c r="G923" s="23">
        <f>+D923*F923</f>
        <v/>
      </c>
    </row>
    <row r="924">
      <c r="A924" s="8" t="n"/>
      <c r="B924" s="8" t="n"/>
      <c r="C924" s="21" t="n"/>
      <c r="D924" s="22" t="n"/>
      <c r="E924" s="22">
        <f>IFERROR(+VLOOKUP(C924,Master!B:C,2,0),"")</f>
        <v/>
      </c>
      <c r="F924" s="23">
        <f>LOOKUP(2,1/((Purchase!$D$1:$D$500=C924)*(Purchase!$A$1:$A$500&lt;=A924)),Purchase!$G$1:$G$500)</f>
        <v/>
      </c>
      <c r="G924" s="23">
        <f>+D924*F924</f>
        <v/>
      </c>
    </row>
    <row r="925">
      <c r="A925" s="8" t="n"/>
      <c r="B925" s="8" t="n"/>
      <c r="C925" s="21" t="n"/>
      <c r="D925" s="22" t="n"/>
      <c r="E925" s="22">
        <f>IFERROR(+VLOOKUP(C925,Master!B:C,2,0),"")</f>
        <v/>
      </c>
      <c r="F925" s="23">
        <f>LOOKUP(2,1/((Purchase!$D$1:$D$500=C925)*(Purchase!$A$1:$A$500&lt;=A925)),Purchase!$G$1:$G$500)</f>
        <v/>
      </c>
      <c r="G925" s="23">
        <f>+D925*F925</f>
        <v/>
      </c>
    </row>
    <row r="926">
      <c r="A926" s="8" t="n"/>
      <c r="B926" s="8" t="n"/>
      <c r="C926" s="21" t="n"/>
      <c r="D926" s="22" t="n"/>
      <c r="E926" s="22">
        <f>IFERROR(+VLOOKUP(C926,Master!B:C,2,0),"")</f>
        <v/>
      </c>
      <c r="F926" s="23">
        <f>LOOKUP(2,1/((Purchase!$D$1:$D$500=C926)*(Purchase!$A$1:$A$500&lt;=A926)),Purchase!$G$1:$G$500)</f>
        <v/>
      </c>
      <c r="G926" s="23">
        <f>+D926*F926</f>
        <v/>
      </c>
    </row>
    <row r="927">
      <c r="A927" s="8" t="n"/>
      <c r="B927" s="8" t="n"/>
      <c r="C927" s="21" t="n"/>
      <c r="D927" s="22" t="n"/>
      <c r="E927" s="22">
        <f>IFERROR(+VLOOKUP(C927,Master!B:C,2,0),"")</f>
        <v/>
      </c>
      <c r="F927" s="23">
        <f>LOOKUP(2,1/((Purchase!$D$1:$D$500=C927)*(Purchase!$A$1:$A$500&lt;=A927)),Purchase!$G$1:$G$500)</f>
        <v/>
      </c>
      <c r="G927" s="23">
        <f>+D927*F927</f>
        <v/>
      </c>
    </row>
    <row r="928">
      <c r="A928" s="8" t="n"/>
      <c r="B928" s="8" t="n"/>
      <c r="C928" s="21" t="n"/>
      <c r="D928" s="22" t="n"/>
      <c r="E928" s="22">
        <f>IFERROR(+VLOOKUP(C928,Master!B:C,2,0),"")</f>
        <v/>
      </c>
      <c r="F928" s="23">
        <f>LOOKUP(2,1/((Purchase!$D$1:$D$500=C928)*(Purchase!$A$1:$A$500&lt;=A928)),Purchase!$G$1:$G$500)</f>
        <v/>
      </c>
      <c r="G928" s="23">
        <f>+D928*F928</f>
        <v/>
      </c>
    </row>
    <row r="929">
      <c r="A929" s="8" t="n"/>
      <c r="B929" s="8" t="n"/>
      <c r="C929" s="21" t="n"/>
      <c r="D929" s="22" t="n"/>
      <c r="E929" s="22">
        <f>IFERROR(+VLOOKUP(C929,Master!B:C,2,0),"")</f>
        <v/>
      </c>
      <c r="F929" s="23">
        <f>LOOKUP(2,1/((Purchase!$D$1:$D$500=C929)*(Purchase!$A$1:$A$500&lt;=A929)),Purchase!$G$1:$G$500)</f>
        <v/>
      </c>
      <c r="G929" s="23">
        <f>+D929*F929</f>
        <v/>
      </c>
    </row>
    <row r="930">
      <c r="A930" s="8" t="n"/>
      <c r="B930" s="8" t="n"/>
      <c r="C930" s="21" t="n"/>
      <c r="D930" s="22" t="n"/>
      <c r="E930" s="22">
        <f>IFERROR(+VLOOKUP(C930,Master!B:C,2,0),"")</f>
        <v/>
      </c>
      <c r="F930" s="23">
        <f>LOOKUP(2,1/((Purchase!$D$1:$D$500=C930)*(Purchase!$A$1:$A$500&lt;=A930)),Purchase!$G$1:$G$500)</f>
        <v/>
      </c>
      <c r="G930" s="23">
        <f>+D930*F930</f>
        <v/>
      </c>
    </row>
    <row r="931">
      <c r="A931" s="8" t="n"/>
      <c r="B931" s="8" t="n"/>
      <c r="C931" s="21" t="n"/>
      <c r="D931" s="22" t="n"/>
      <c r="E931" s="22">
        <f>IFERROR(+VLOOKUP(C931,Master!B:C,2,0),"")</f>
        <v/>
      </c>
      <c r="F931" s="23">
        <f>LOOKUP(2,1/((Purchase!$D$1:$D$500=C931)*(Purchase!$A$1:$A$500&lt;=A931)),Purchase!$G$1:$G$500)</f>
        <v/>
      </c>
      <c r="G931" s="23">
        <f>+D931*F931</f>
        <v/>
      </c>
    </row>
    <row r="932">
      <c r="A932" s="8" t="n"/>
      <c r="B932" s="8" t="n"/>
      <c r="C932" s="21" t="n"/>
      <c r="D932" s="22" t="n"/>
      <c r="E932" s="22">
        <f>IFERROR(+VLOOKUP(C932,Master!B:C,2,0),"")</f>
        <v/>
      </c>
      <c r="F932" s="23">
        <f>LOOKUP(2,1/((Purchase!$D$1:$D$500=C932)*(Purchase!$A$1:$A$500&lt;=A932)),Purchase!$G$1:$G$500)</f>
        <v/>
      </c>
      <c r="G932" s="23">
        <f>+D932*F932</f>
        <v/>
      </c>
    </row>
    <row r="933">
      <c r="A933" s="8" t="n"/>
      <c r="B933" s="8" t="n"/>
      <c r="C933" s="21" t="n"/>
      <c r="D933" s="22" t="n"/>
      <c r="E933" s="22">
        <f>IFERROR(+VLOOKUP(C933,Master!B:C,2,0),"")</f>
        <v/>
      </c>
      <c r="F933" s="23">
        <f>LOOKUP(2,1/((Purchase!$D$1:$D$500=C933)*(Purchase!$A$1:$A$500&lt;=A933)),Purchase!$G$1:$G$500)</f>
        <v/>
      </c>
      <c r="G933" s="23">
        <f>+D933*F933</f>
        <v/>
      </c>
    </row>
    <row r="934">
      <c r="A934" s="8" t="n"/>
      <c r="B934" s="8" t="n"/>
      <c r="C934" s="21" t="n"/>
      <c r="D934" s="22" t="n"/>
      <c r="E934" s="22">
        <f>IFERROR(+VLOOKUP(C934,Master!B:C,2,0),"")</f>
        <v/>
      </c>
      <c r="F934" s="23">
        <f>LOOKUP(2,1/((Purchase!$D$1:$D$500=C934)*(Purchase!$A$1:$A$500&lt;=A934)),Purchase!$G$1:$G$500)</f>
        <v/>
      </c>
      <c r="G934" s="23">
        <f>+D934*F934</f>
        <v/>
      </c>
    </row>
    <row r="935">
      <c r="A935" s="8" t="n"/>
      <c r="B935" s="8" t="n"/>
      <c r="C935" s="21" t="n"/>
      <c r="D935" s="22" t="n"/>
      <c r="E935" s="22">
        <f>IFERROR(+VLOOKUP(C935,Master!B:C,2,0),"")</f>
        <v/>
      </c>
      <c r="F935" s="23">
        <f>LOOKUP(2,1/((Purchase!$D$1:$D$500=C935)*(Purchase!$A$1:$A$500&lt;=A935)),Purchase!$G$1:$G$500)</f>
        <v/>
      </c>
      <c r="G935" s="23">
        <f>+D935*F935</f>
        <v/>
      </c>
    </row>
    <row r="936">
      <c r="A936" s="8" t="n"/>
      <c r="B936" s="8" t="n"/>
      <c r="C936" s="21" t="n"/>
      <c r="D936" s="22" t="n"/>
      <c r="E936" s="22">
        <f>IFERROR(+VLOOKUP(C936,Master!B:C,2,0),"")</f>
        <v/>
      </c>
      <c r="F936" s="23">
        <f>LOOKUP(2,1/((Purchase!$D$1:$D$500=C936)*(Purchase!$A$1:$A$500&lt;=A936)),Purchase!$G$1:$G$500)</f>
        <v/>
      </c>
      <c r="G936" s="23">
        <f>+D936*F936</f>
        <v/>
      </c>
    </row>
    <row r="937">
      <c r="A937" s="8" t="n"/>
      <c r="B937" s="8" t="n"/>
      <c r="C937" s="21" t="n"/>
      <c r="D937" s="22" t="n"/>
      <c r="E937" s="22">
        <f>IFERROR(+VLOOKUP(C937,Master!B:C,2,0),"")</f>
        <v/>
      </c>
      <c r="F937" s="23">
        <f>LOOKUP(2,1/((Purchase!$D$1:$D$500=C937)*(Purchase!$A$1:$A$500&lt;=A937)),Purchase!$G$1:$G$500)</f>
        <v/>
      </c>
      <c r="G937" s="23">
        <f>+D937*F937</f>
        <v/>
      </c>
    </row>
    <row r="938">
      <c r="A938" s="8" t="n"/>
      <c r="B938" s="8" t="n"/>
      <c r="C938" s="21" t="n"/>
      <c r="D938" s="22" t="n"/>
      <c r="E938" s="22">
        <f>IFERROR(+VLOOKUP(C938,Master!B:C,2,0),"")</f>
        <v/>
      </c>
      <c r="F938" s="23">
        <f>LOOKUP(2,1/((Purchase!$D$1:$D$500=C938)*(Purchase!$A$1:$A$500&lt;=A938)),Purchase!$G$1:$G$500)</f>
        <v/>
      </c>
      <c r="G938" s="23">
        <f>+D938*F938</f>
        <v/>
      </c>
    </row>
    <row r="939">
      <c r="A939" s="8" t="n"/>
      <c r="B939" s="8" t="n"/>
      <c r="C939" s="21" t="n"/>
      <c r="D939" s="22" t="n"/>
      <c r="E939" s="22">
        <f>IFERROR(+VLOOKUP(C939,Master!B:C,2,0),"")</f>
        <v/>
      </c>
      <c r="F939" s="23">
        <f>LOOKUP(2,1/((Purchase!$D$1:$D$500=C939)*(Purchase!$A$1:$A$500&lt;=A939)),Purchase!$G$1:$G$500)</f>
        <v/>
      </c>
      <c r="G939" s="23">
        <f>+D939*F939</f>
        <v/>
      </c>
    </row>
    <row r="940">
      <c r="A940" s="8" t="n"/>
      <c r="B940" s="8" t="n"/>
      <c r="C940" s="21" t="n"/>
      <c r="D940" s="22" t="n"/>
      <c r="E940" s="22">
        <f>IFERROR(+VLOOKUP(C940,Master!B:C,2,0),"")</f>
        <v/>
      </c>
      <c r="F940" s="23">
        <f>LOOKUP(2,1/((Purchase!$D$1:$D$500=C940)*(Purchase!$A$1:$A$500&lt;=A940)),Purchase!$G$1:$G$500)</f>
        <v/>
      </c>
      <c r="G940" s="23">
        <f>+D940*F940</f>
        <v/>
      </c>
    </row>
    <row r="941">
      <c r="A941" s="8" t="n"/>
      <c r="B941" s="8" t="n"/>
      <c r="C941" s="21" t="n"/>
      <c r="D941" s="22" t="n"/>
      <c r="E941" s="22">
        <f>IFERROR(+VLOOKUP(C941,Master!B:C,2,0),"")</f>
        <v/>
      </c>
      <c r="F941" s="23">
        <f>LOOKUP(2,1/((Purchase!$D$1:$D$500=C941)*(Purchase!$A$1:$A$500&lt;=A941)),Purchase!$G$1:$G$500)</f>
        <v/>
      </c>
      <c r="G941" s="23">
        <f>+D941*F941</f>
        <v/>
      </c>
    </row>
    <row r="942">
      <c r="A942" s="8" t="n"/>
      <c r="B942" s="8" t="n"/>
      <c r="C942" s="21" t="n"/>
      <c r="D942" s="22" t="n"/>
      <c r="E942" s="22">
        <f>IFERROR(+VLOOKUP(C942,Master!B:C,2,0),"")</f>
        <v/>
      </c>
      <c r="F942" s="23">
        <f>LOOKUP(2,1/((Purchase!$D$1:$D$500=C942)*(Purchase!$A$1:$A$500&lt;=A942)),Purchase!$G$1:$G$500)</f>
        <v/>
      </c>
      <c r="G942" s="23">
        <f>+D942*F942</f>
        <v/>
      </c>
    </row>
    <row r="943">
      <c r="A943" s="8" t="n"/>
      <c r="B943" s="8" t="n"/>
      <c r="C943" s="21" t="n"/>
      <c r="D943" s="22" t="n"/>
      <c r="E943" s="22">
        <f>IFERROR(+VLOOKUP(C943,Master!B:C,2,0),"")</f>
        <v/>
      </c>
      <c r="F943" s="23">
        <f>LOOKUP(2,1/((Purchase!$D$1:$D$500=C943)*(Purchase!$A$1:$A$500&lt;=A943)),Purchase!$G$1:$G$500)</f>
        <v/>
      </c>
      <c r="G943" s="23">
        <f>+D943*F943</f>
        <v/>
      </c>
    </row>
    <row r="944">
      <c r="A944" s="8" t="n"/>
      <c r="B944" s="8" t="n"/>
      <c r="C944" s="21" t="n"/>
      <c r="D944" s="22" t="n"/>
      <c r="E944" s="22">
        <f>IFERROR(+VLOOKUP(C944,Master!B:C,2,0),"")</f>
        <v/>
      </c>
      <c r="F944" s="23">
        <f>LOOKUP(2,1/((Purchase!$D$1:$D$500=C944)*(Purchase!$A$1:$A$500&lt;=A944)),Purchase!$G$1:$G$500)</f>
        <v/>
      </c>
      <c r="G944" s="23">
        <f>+D944*F944</f>
        <v/>
      </c>
    </row>
    <row r="945">
      <c r="A945" s="8" t="n"/>
      <c r="B945" s="8" t="n"/>
      <c r="C945" s="21" t="n"/>
      <c r="D945" s="22" t="n"/>
      <c r="E945" s="22">
        <f>IFERROR(+VLOOKUP(C945,Master!B:C,2,0),"")</f>
        <v/>
      </c>
      <c r="F945" s="23">
        <f>LOOKUP(2,1/((Purchase!$D$1:$D$500=C945)*(Purchase!$A$1:$A$500&lt;=A945)),Purchase!$G$1:$G$500)</f>
        <v/>
      </c>
      <c r="G945" s="23">
        <f>+D945*F945</f>
        <v/>
      </c>
    </row>
    <row r="946">
      <c r="A946" s="8" t="n"/>
      <c r="B946" s="8" t="n"/>
      <c r="C946" s="21" t="n"/>
      <c r="D946" s="22" t="n"/>
      <c r="E946" s="22">
        <f>IFERROR(+VLOOKUP(C946,Master!B:C,2,0),"")</f>
        <v/>
      </c>
      <c r="F946" s="23">
        <f>LOOKUP(2,1/((Purchase!$D$1:$D$500=C946)*(Purchase!$A$1:$A$500&lt;=A946)),Purchase!$G$1:$G$500)</f>
        <v/>
      </c>
      <c r="G946" s="23">
        <f>+D946*F946</f>
        <v/>
      </c>
    </row>
    <row r="947">
      <c r="A947" s="8" t="n"/>
      <c r="B947" s="8" t="n"/>
      <c r="C947" s="21" t="n"/>
      <c r="D947" s="22" t="n"/>
      <c r="E947" s="22">
        <f>IFERROR(+VLOOKUP(C947,Master!B:C,2,0),"")</f>
        <v/>
      </c>
      <c r="F947" s="23">
        <f>LOOKUP(2,1/((Purchase!$D$1:$D$500=C947)*(Purchase!$A$1:$A$500&lt;=A947)),Purchase!$G$1:$G$500)</f>
        <v/>
      </c>
      <c r="G947" s="23">
        <f>+D947*F947</f>
        <v/>
      </c>
    </row>
    <row r="948">
      <c r="A948" s="8" t="n"/>
      <c r="B948" s="8" t="n"/>
      <c r="C948" s="21" t="n"/>
      <c r="D948" s="22" t="n"/>
      <c r="E948" s="22">
        <f>IFERROR(+VLOOKUP(C948,Master!B:C,2,0),"")</f>
        <v/>
      </c>
      <c r="F948" s="23">
        <f>LOOKUP(2,1/((Purchase!$D$1:$D$500=C948)*(Purchase!$A$1:$A$500&lt;=A948)),Purchase!$G$1:$G$500)</f>
        <v/>
      </c>
      <c r="G948" s="23">
        <f>+D948*F948</f>
        <v/>
      </c>
    </row>
    <row r="949">
      <c r="A949" s="8" t="n"/>
      <c r="B949" s="8" t="n"/>
      <c r="C949" s="21" t="n"/>
      <c r="D949" s="22" t="n"/>
      <c r="E949" s="22">
        <f>IFERROR(+VLOOKUP(C949,Master!B:C,2,0),"")</f>
        <v/>
      </c>
      <c r="F949" s="23">
        <f>LOOKUP(2,1/((Purchase!$D$1:$D$500=C949)*(Purchase!$A$1:$A$500&lt;=A949)),Purchase!$G$1:$G$500)</f>
        <v/>
      </c>
      <c r="G949" s="23">
        <f>+D949*F949</f>
        <v/>
      </c>
    </row>
    <row r="950">
      <c r="A950" s="8" t="n"/>
      <c r="B950" s="8" t="n"/>
      <c r="C950" s="21" t="n"/>
      <c r="D950" s="22" t="n"/>
      <c r="E950" s="22">
        <f>IFERROR(+VLOOKUP(C950,Master!B:C,2,0),"")</f>
        <v/>
      </c>
      <c r="F950" s="23">
        <f>LOOKUP(2,1/((Purchase!$D$1:$D$500=C950)*(Purchase!$A$1:$A$500&lt;=A950)),Purchase!$G$1:$G$500)</f>
        <v/>
      </c>
      <c r="G950" s="23">
        <f>+D950*F950</f>
        <v/>
      </c>
    </row>
    <row r="951">
      <c r="A951" s="8" t="n"/>
      <c r="B951" s="8" t="n"/>
      <c r="C951" s="21" t="n"/>
      <c r="D951" s="22" t="n"/>
      <c r="E951" s="22">
        <f>IFERROR(+VLOOKUP(C951,Master!B:C,2,0),"")</f>
        <v/>
      </c>
      <c r="F951" s="23">
        <f>LOOKUP(2,1/((Purchase!$D$1:$D$500=C951)*(Purchase!$A$1:$A$500&lt;=A951)),Purchase!$G$1:$G$500)</f>
        <v/>
      </c>
      <c r="G951" s="23">
        <f>+D951*F951</f>
        <v/>
      </c>
    </row>
    <row r="952">
      <c r="A952" s="8" t="n"/>
      <c r="B952" s="8" t="n"/>
      <c r="C952" s="21" t="n"/>
      <c r="D952" s="22" t="n"/>
      <c r="E952" s="22">
        <f>IFERROR(+VLOOKUP(C952,Master!B:C,2,0),"")</f>
        <v/>
      </c>
      <c r="F952" s="23">
        <f>LOOKUP(2,1/((Purchase!$D$1:$D$500=C952)*(Purchase!$A$1:$A$500&lt;=A952)),Purchase!$G$1:$G$500)</f>
        <v/>
      </c>
      <c r="G952" s="23">
        <f>+D952*F952</f>
        <v/>
      </c>
    </row>
    <row r="953">
      <c r="A953" s="8" t="n"/>
      <c r="B953" s="8" t="n"/>
      <c r="C953" s="21" t="n"/>
      <c r="D953" s="22" t="n"/>
      <c r="E953" s="22">
        <f>IFERROR(+VLOOKUP(C953,Master!B:C,2,0),"")</f>
        <v/>
      </c>
      <c r="F953" s="23">
        <f>LOOKUP(2,1/((Purchase!$D$1:$D$500=C953)*(Purchase!$A$1:$A$500&lt;=A953)),Purchase!$G$1:$G$500)</f>
        <v/>
      </c>
      <c r="G953" s="23">
        <f>+D953*F953</f>
        <v/>
      </c>
    </row>
    <row r="954">
      <c r="A954" s="8" t="n"/>
      <c r="B954" s="8" t="n"/>
      <c r="C954" s="21" t="n"/>
      <c r="D954" s="22" t="n"/>
      <c r="E954" s="22">
        <f>IFERROR(+VLOOKUP(C954,Master!B:C,2,0),"")</f>
        <v/>
      </c>
      <c r="F954" s="23">
        <f>LOOKUP(2,1/((Purchase!$D$1:$D$500=C954)*(Purchase!$A$1:$A$500&lt;=A954)),Purchase!$G$1:$G$500)</f>
        <v/>
      </c>
      <c r="G954" s="23">
        <f>+D954*F954</f>
        <v/>
      </c>
    </row>
    <row r="955">
      <c r="A955" s="8" t="n"/>
      <c r="B955" s="8" t="n"/>
      <c r="C955" s="21" t="n"/>
      <c r="D955" s="22" t="n"/>
      <c r="E955" s="22">
        <f>IFERROR(+VLOOKUP(C955,Master!B:C,2,0),"")</f>
        <v/>
      </c>
      <c r="F955" s="23">
        <f>LOOKUP(2,1/((Purchase!$D$1:$D$500=C955)*(Purchase!$A$1:$A$500&lt;=A955)),Purchase!$G$1:$G$500)</f>
        <v/>
      </c>
      <c r="G955" s="23">
        <f>+D955*F955</f>
        <v/>
      </c>
    </row>
    <row r="956">
      <c r="A956" s="8" t="n"/>
      <c r="B956" s="8" t="n"/>
      <c r="C956" s="21" t="n"/>
      <c r="D956" s="22" t="n"/>
      <c r="E956" s="22">
        <f>IFERROR(+VLOOKUP(C956,Master!B:C,2,0),"")</f>
        <v/>
      </c>
      <c r="F956" s="23">
        <f>LOOKUP(2,1/((Purchase!$D$1:$D$500=C956)*(Purchase!$A$1:$A$500&lt;=A956)),Purchase!$G$1:$G$500)</f>
        <v/>
      </c>
      <c r="G956" s="23">
        <f>+D956*F956</f>
        <v/>
      </c>
    </row>
    <row r="957">
      <c r="A957" s="8" t="n"/>
      <c r="B957" s="8" t="n"/>
      <c r="C957" s="21" t="n"/>
      <c r="D957" s="22" t="n"/>
      <c r="E957" s="22">
        <f>IFERROR(+VLOOKUP(C957,Master!B:C,2,0),"")</f>
        <v/>
      </c>
      <c r="F957" s="23">
        <f>LOOKUP(2,1/((Purchase!$D$1:$D$500=C957)*(Purchase!$A$1:$A$500&lt;=A957)),Purchase!$G$1:$G$500)</f>
        <v/>
      </c>
      <c r="G957" s="23">
        <f>+D957*F957</f>
        <v/>
      </c>
    </row>
    <row r="958">
      <c r="A958" s="8" t="n"/>
      <c r="B958" s="8" t="n"/>
      <c r="C958" s="21" t="n"/>
      <c r="D958" s="22" t="n"/>
      <c r="E958" s="22">
        <f>IFERROR(+VLOOKUP(C958,Master!B:C,2,0),"")</f>
        <v/>
      </c>
      <c r="F958" s="23">
        <f>LOOKUP(2,1/((Purchase!$D$1:$D$500=C958)*(Purchase!$A$1:$A$500&lt;=A958)),Purchase!$G$1:$G$500)</f>
        <v/>
      </c>
      <c r="G958" s="23">
        <f>+D958*F958</f>
        <v/>
      </c>
    </row>
    <row r="959">
      <c r="A959" s="8" t="n"/>
      <c r="B959" s="8" t="n"/>
      <c r="C959" s="21" t="n"/>
      <c r="D959" s="22" t="n"/>
      <c r="E959" s="22">
        <f>IFERROR(+VLOOKUP(C959,Master!B:C,2,0),"")</f>
        <v/>
      </c>
      <c r="F959" s="23">
        <f>LOOKUP(2,1/((Purchase!$D$1:$D$500=C959)*(Purchase!$A$1:$A$500&lt;=A959)),Purchase!$G$1:$G$500)</f>
        <v/>
      </c>
      <c r="G959" s="23">
        <f>+D959*F959</f>
        <v/>
      </c>
    </row>
    <row r="960">
      <c r="A960" s="8" t="n"/>
      <c r="B960" s="8" t="n"/>
      <c r="C960" s="21" t="n"/>
      <c r="D960" s="22" t="n"/>
      <c r="E960" s="22">
        <f>IFERROR(+VLOOKUP(C960,Master!B:C,2,0),"")</f>
        <v/>
      </c>
      <c r="F960" s="23">
        <f>LOOKUP(2,1/((Purchase!$D$1:$D$500=C960)*(Purchase!$A$1:$A$500&lt;=A960)),Purchase!$G$1:$G$500)</f>
        <v/>
      </c>
      <c r="G960" s="23">
        <f>+D960*F960</f>
        <v/>
      </c>
    </row>
    <row r="961">
      <c r="A961" s="8" t="n"/>
      <c r="B961" s="8" t="n"/>
      <c r="C961" s="21" t="n"/>
      <c r="D961" s="22" t="n"/>
      <c r="E961" s="22">
        <f>IFERROR(+VLOOKUP(C961,Master!B:C,2,0),"")</f>
        <v/>
      </c>
      <c r="F961" s="23">
        <f>LOOKUP(2,1/((Purchase!$D$1:$D$500=C961)*(Purchase!$A$1:$A$500&lt;=A961)),Purchase!$G$1:$G$500)</f>
        <v/>
      </c>
      <c r="G961" s="23">
        <f>+D961*F961</f>
        <v/>
      </c>
    </row>
    <row r="962">
      <c r="A962" s="8" t="n"/>
      <c r="B962" s="8" t="n"/>
      <c r="C962" s="21" t="n"/>
      <c r="D962" s="22" t="n"/>
      <c r="E962" s="22">
        <f>IFERROR(+VLOOKUP(C962,Master!B:C,2,0),"")</f>
        <v/>
      </c>
      <c r="F962" s="23">
        <f>LOOKUP(2,1/((Purchase!$D$1:$D$500=C962)*(Purchase!$A$1:$A$500&lt;=A962)),Purchase!$G$1:$G$500)</f>
        <v/>
      </c>
      <c r="G962" s="23">
        <f>+D962*F962</f>
        <v/>
      </c>
    </row>
    <row r="963">
      <c r="A963" s="8" t="n"/>
      <c r="B963" s="8" t="n"/>
      <c r="C963" s="21" t="n"/>
      <c r="D963" s="22" t="n"/>
      <c r="E963" s="22">
        <f>IFERROR(+VLOOKUP(C963,Master!B:C,2,0),"")</f>
        <v/>
      </c>
      <c r="F963" s="23">
        <f>LOOKUP(2,1/((Purchase!$D$1:$D$500=C963)*(Purchase!$A$1:$A$500&lt;=A963)),Purchase!$G$1:$G$500)</f>
        <v/>
      </c>
      <c r="G963" s="23">
        <f>+D963*F963</f>
        <v/>
      </c>
    </row>
    <row r="964">
      <c r="A964" s="8" t="n"/>
      <c r="B964" s="8" t="n"/>
      <c r="C964" s="21" t="n"/>
      <c r="D964" s="22" t="n"/>
      <c r="E964" s="22">
        <f>IFERROR(+VLOOKUP(C964,Master!B:C,2,0),"")</f>
        <v/>
      </c>
      <c r="F964" s="23">
        <f>LOOKUP(2,1/((Purchase!$D$1:$D$500=C964)*(Purchase!$A$1:$A$500&lt;=A964)),Purchase!$G$1:$G$500)</f>
        <v/>
      </c>
      <c r="G964" s="23">
        <f>+D964*F964</f>
        <v/>
      </c>
    </row>
    <row r="965">
      <c r="A965" s="8" t="n"/>
      <c r="B965" s="8" t="n"/>
      <c r="C965" s="21" t="n"/>
      <c r="D965" s="22" t="n"/>
      <c r="E965" s="22">
        <f>IFERROR(+VLOOKUP(C965,Master!B:C,2,0),"")</f>
        <v/>
      </c>
      <c r="F965" s="23">
        <f>LOOKUP(2,1/((Purchase!$D$1:$D$500=C965)*(Purchase!$A$1:$A$500&lt;=A965)),Purchase!$G$1:$G$500)</f>
        <v/>
      </c>
      <c r="G965" s="23">
        <f>+D965*F965</f>
        <v/>
      </c>
    </row>
    <row r="966">
      <c r="A966" s="8" t="n"/>
      <c r="B966" s="8" t="n"/>
      <c r="C966" s="21" t="n"/>
      <c r="D966" s="22" t="n"/>
      <c r="E966" s="22">
        <f>IFERROR(+VLOOKUP(C966,Master!B:C,2,0),"")</f>
        <v/>
      </c>
      <c r="F966" s="23">
        <f>LOOKUP(2,1/((Purchase!$D$1:$D$500=C966)*(Purchase!$A$1:$A$500&lt;=A966)),Purchase!$G$1:$G$500)</f>
        <v/>
      </c>
      <c r="G966" s="23">
        <f>+D966*F966</f>
        <v/>
      </c>
    </row>
    <row r="967">
      <c r="A967" s="8" t="n"/>
      <c r="B967" s="8" t="n"/>
      <c r="C967" s="21" t="n"/>
      <c r="D967" s="22" t="n"/>
      <c r="E967" s="22">
        <f>IFERROR(+VLOOKUP(C967,Master!B:C,2,0),"")</f>
        <v/>
      </c>
      <c r="F967" s="23">
        <f>LOOKUP(2,1/((Purchase!$D$1:$D$500=C967)*(Purchase!$A$1:$A$500&lt;=A967)),Purchase!$G$1:$G$500)</f>
        <v/>
      </c>
      <c r="G967" s="23">
        <f>+D967*F967</f>
        <v/>
      </c>
    </row>
    <row r="968">
      <c r="A968" s="8" t="n"/>
      <c r="B968" s="8" t="n"/>
      <c r="C968" s="21" t="n"/>
      <c r="D968" s="22" t="n"/>
      <c r="E968" s="22">
        <f>IFERROR(+VLOOKUP(C968,Master!B:C,2,0),"")</f>
        <v/>
      </c>
      <c r="F968" s="23">
        <f>LOOKUP(2,1/((Purchase!$D$1:$D$500=C968)*(Purchase!$A$1:$A$500&lt;=A968)),Purchase!$G$1:$G$500)</f>
        <v/>
      </c>
      <c r="G968" s="23">
        <f>+D968*F968</f>
        <v/>
      </c>
    </row>
    <row r="969">
      <c r="A969" s="8" t="n"/>
      <c r="B969" s="8" t="n"/>
      <c r="C969" s="21" t="n"/>
      <c r="D969" s="22" t="n"/>
      <c r="E969" s="22">
        <f>IFERROR(+VLOOKUP(C969,Master!B:C,2,0),"")</f>
        <v/>
      </c>
      <c r="F969" s="23">
        <f>LOOKUP(2,1/((Purchase!$D$1:$D$500=C969)*(Purchase!$A$1:$A$500&lt;=A969)),Purchase!$G$1:$G$500)</f>
        <v/>
      </c>
      <c r="G969" s="23">
        <f>+D969*F969</f>
        <v/>
      </c>
    </row>
    <row r="970">
      <c r="A970" s="8" t="n"/>
      <c r="B970" s="8" t="n"/>
      <c r="C970" s="21" t="n"/>
      <c r="D970" s="22" t="n"/>
      <c r="E970" s="22">
        <f>IFERROR(+VLOOKUP(C970,Master!B:C,2,0),"")</f>
        <v/>
      </c>
      <c r="F970" s="23">
        <f>LOOKUP(2,1/((Purchase!$D$1:$D$500=C970)*(Purchase!$A$1:$A$500&lt;=A970)),Purchase!$G$1:$G$500)</f>
        <v/>
      </c>
      <c r="G970" s="23">
        <f>+D970*F970</f>
        <v/>
      </c>
    </row>
    <row r="971">
      <c r="A971" s="8" t="n"/>
      <c r="B971" s="8" t="n"/>
      <c r="C971" s="21" t="n"/>
      <c r="D971" s="22" t="n"/>
      <c r="E971" s="22">
        <f>IFERROR(+VLOOKUP(C971,Master!B:C,2,0),"")</f>
        <v/>
      </c>
      <c r="F971" s="23">
        <f>LOOKUP(2,1/((Purchase!$D$1:$D$500=C971)*(Purchase!$A$1:$A$500&lt;=A971)),Purchase!$G$1:$G$500)</f>
        <v/>
      </c>
      <c r="G971" s="23">
        <f>+D971*F971</f>
        <v/>
      </c>
    </row>
    <row r="972">
      <c r="A972" s="8" t="n"/>
      <c r="B972" s="8" t="n"/>
      <c r="C972" s="21" t="n"/>
      <c r="D972" s="22" t="n"/>
      <c r="E972" s="22">
        <f>IFERROR(+VLOOKUP(C972,Master!B:C,2,0),"")</f>
        <v/>
      </c>
      <c r="F972" s="23">
        <f>LOOKUP(2,1/((Purchase!$D$1:$D$500=C972)*(Purchase!$A$1:$A$500&lt;=A972)),Purchase!$G$1:$G$500)</f>
        <v/>
      </c>
      <c r="G972" s="23">
        <f>+D972*F972</f>
        <v/>
      </c>
    </row>
    <row r="973">
      <c r="A973" s="8" t="n"/>
      <c r="B973" s="8" t="n"/>
      <c r="C973" s="21" t="n"/>
      <c r="D973" s="22" t="n"/>
      <c r="E973" s="22">
        <f>IFERROR(+VLOOKUP(C973,Master!B:C,2,0),"")</f>
        <v/>
      </c>
      <c r="F973" s="23">
        <f>LOOKUP(2,1/((Purchase!$D$1:$D$500=C973)*(Purchase!$A$1:$A$500&lt;=A973)),Purchase!$G$1:$G$500)</f>
        <v/>
      </c>
      <c r="G973" s="23">
        <f>+D973*F973</f>
        <v/>
      </c>
    </row>
    <row r="974">
      <c r="A974" s="8" t="n"/>
      <c r="B974" s="8" t="n"/>
      <c r="C974" s="21" t="n"/>
      <c r="D974" s="22" t="n"/>
      <c r="E974" s="22">
        <f>IFERROR(+VLOOKUP(C974,Master!B:C,2,0),"")</f>
        <v/>
      </c>
      <c r="F974" s="23">
        <f>LOOKUP(2,1/((Purchase!$D$1:$D$500=C974)*(Purchase!$A$1:$A$500&lt;=A974)),Purchase!$G$1:$G$500)</f>
        <v/>
      </c>
      <c r="G974" s="23">
        <f>+D974*F974</f>
        <v/>
      </c>
    </row>
    <row r="975">
      <c r="A975" s="8" t="n"/>
      <c r="B975" s="8" t="n"/>
      <c r="C975" s="21" t="n"/>
      <c r="D975" s="22" t="n"/>
      <c r="E975" s="22">
        <f>IFERROR(+VLOOKUP(C975,Master!B:C,2,0),"")</f>
        <v/>
      </c>
      <c r="F975" s="23">
        <f>LOOKUP(2,1/((Purchase!$D$1:$D$500=C975)*(Purchase!$A$1:$A$500&lt;=A975)),Purchase!$G$1:$G$500)</f>
        <v/>
      </c>
      <c r="G975" s="23">
        <f>+D975*F975</f>
        <v/>
      </c>
    </row>
    <row r="976">
      <c r="A976" s="8" t="n"/>
      <c r="B976" s="8" t="n"/>
      <c r="C976" s="21" t="n"/>
      <c r="D976" s="22" t="n"/>
      <c r="E976" s="22">
        <f>IFERROR(+VLOOKUP(C976,Master!B:C,2,0),"")</f>
        <v/>
      </c>
      <c r="F976" s="23">
        <f>LOOKUP(2,1/((Purchase!$D$1:$D$500=C976)*(Purchase!$A$1:$A$500&lt;=A976)),Purchase!$G$1:$G$500)</f>
        <v/>
      </c>
      <c r="G976" s="23">
        <f>+D976*F976</f>
        <v/>
      </c>
    </row>
    <row r="977">
      <c r="A977" s="8" t="n"/>
      <c r="B977" s="8" t="n"/>
      <c r="C977" s="21" t="n"/>
      <c r="D977" s="22" t="n"/>
      <c r="E977" s="22">
        <f>IFERROR(+VLOOKUP(C977,Master!B:C,2,0),"")</f>
        <v/>
      </c>
      <c r="F977" s="23">
        <f>LOOKUP(2,1/((Purchase!$D$1:$D$500=C977)*(Purchase!$A$1:$A$500&lt;=A977)),Purchase!$G$1:$G$500)</f>
        <v/>
      </c>
      <c r="G977" s="23">
        <f>+D977*F977</f>
        <v/>
      </c>
    </row>
    <row r="978">
      <c r="A978" s="8" t="n"/>
      <c r="B978" s="8" t="n"/>
      <c r="C978" s="21" t="n"/>
      <c r="D978" s="22" t="n"/>
      <c r="E978" s="22">
        <f>IFERROR(+VLOOKUP(C978,Master!B:C,2,0),"")</f>
        <v/>
      </c>
      <c r="F978" s="23">
        <f>LOOKUP(2,1/((Purchase!$D$1:$D$500=C978)*(Purchase!$A$1:$A$500&lt;=A978)),Purchase!$G$1:$G$500)</f>
        <v/>
      </c>
      <c r="G978" s="23">
        <f>+D978*F978</f>
        <v/>
      </c>
    </row>
    <row r="979">
      <c r="A979" s="8" t="n"/>
      <c r="B979" s="8" t="n"/>
      <c r="C979" s="21" t="n"/>
      <c r="D979" s="22" t="n"/>
      <c r="E979" s="22">
        <f>IFERROR(+VLOOKUP(C979,Master!B:C,2,0),"")</f>
        <v/>
      </c>
      <c r="F979" s="23">
        <f>LOOKUP(2,1/((Purchase!$D$1:$D$500=C979)*(Purchase!$A$1:$A$500&lt;=A979)),Purchase!$G$1:$G$500)</f>
        <v/>
      </c>
      <c r="G979" s="23">
        <f>+D979*F979</f>
        <v/>
      </c>
    </row>
    <row r="980">
      <c r="A980" s="8" t="n"/>
      <c r="B980" s="8" t="n"/>
      <c r="C980" s="21" t="n"/>
      <c r="D980" s="22" t="n"/>
      <c r="E980" s="22">
        <f>IFERROR(+VLOOKUP(C980,Master!B:C,2,0),"")</f>
        <v/>
      </c>
      <c r="F980" s="23">
        <f>LOOKUP(2,1/((Purchase!$D$1:$D$500=C980)*(Purchase!$A$1:$A$500&lt;=A980)),Purchase!$G$1:$G$500)</f>
        <v/>
      </c>
      <c r="G980" s="23">
        <f>+D980*F980</f>
        <v/>
      </c>
    </row>
    <row r="981">
      <c r="A981" s="8" t="n"/>
      <c r="B981" s="8" t="n"/>
      <c r="C981" s="21" t="n"/>
      <c r="D981" s="22" t="n"/>
      <c r="E981" s="22">
        <f>IFERROR(+VLOOKUP(C981,Master!B:C,2,0),"")</f>
        <v/>
      </c>
      <c r="F981" s="23">
        <f>LOOKUP(2,1/((Purchase!$D$1:$D$500=C981)*(Purchase!$A$1:$A$500&lt;=A981)),Purchase!$G$1:$G$500)</f>
        <v/>
      </c>
      <c r="G981" s="23">
        <f>+D981*F981</f>
        <v/>
      </c>
    </row>
    <row r="982">
      <c r="A982" s="8" t="n"/>
      <c r="B982" s="8" t="n"/>
      <c r="C982" s="21" t="n"/>
      <c r="D982" s="22" t="n"/>
      <c r="E982" s="22">
        <f>IFERROR(+VLOOKUP(C982,Master!B:C,2,0),"")</f>
        <v/>
      </c>
      <c r="F982" s="23">
        <f>LOOKUP(2,1/((Purchase!$D$1:$D$500=C982)*(Purchase!$A$1:$A$500&lt;=A982)),Purchase!$G$1:$G$500)</f>
        <v/>
      </c>
      <c r="G982" s="23">
        <f>+D982*F982</f>
        <v/>
      </c>
    </row>
    <row r="983">
      <c r="A983" s="8" t="n"/>
      <c r="B983" s="8" t="n"/>
      <c r="C983" s="21" t="n"/>
      <c r="D983" s="22" t="n"/>
      <c r="E983" s="22">
        <f>IFERROR(+VLOOKUP(C983,Master!B:C,2,0),"")</f>
        <v/>
      </c>
      <c r="F983" s="23">
        <f>LOOKUP(2,1/((Purchase!$D$1:$D$500=C983)*(Purchase!$A$1:$A$500&lt;=A983)),Purchase!$G$1:$G$500)</f>
        <v/>
      </c>
      <c r="G983" s="23">
        <f>+D983*F983</f>
        <v/>
      </c>
    </row>
    <row r="984">
      <c r="A984" s="8" t="n"/>
      <c r="B984" s="8" t="n"/>
      <c r="C984" s="21" t="n"/>
      <c r="D984" s="22" t="n"/>
      <c r="E984" s="22">
        <f>IFERROR(+VLOOKUP(C984,Master!B:C,2,0),"")</f>
        <v/>
      </c>
      <c r="F984" s="23">
        <f>LOOKUP(2,1/((Purchase!$D$1:$D$500=C984)*(Purchase!$A$1:$A$500&lt;=A984)),Purchase!$G$1:$G$500)</f>
        <v/>
      </c>
      <c r="G984" s="23">
        <f>+D984*F984</f>
        <v/>
      </c>
    </row>
    <row r="985">
      <c r="A985" s="8" t="n"/>
      <c r="B985" s="8" t="n"/>
      <c r="C985" s="21" t="n"/>
      <c r="D985" s="22" t="n"/>
      <c r="E985" s="22">
        <f>IFERROR(+VLOOKUP(C985,Master!B:C,2,0),"")</f>
        <v/>
      </c>
      <c r="F985" s="23">
        <f>LOOKUP(2,1/((Purchase!$D$1:$D$500=C985)*(Purchase!$A$1:$A$500&lt;=A985)),Purchase!$G$1:$G$500)</f>
        <v/>
      </c>
      <c r="G985" s="23">
        <f>+D985*F985</f>
        <v/>
      </c>
    </row>
    <row r="986">
      <c r="A986" s="8" t="n"/>
      <c r="B986" s="8" t="n"/>
      <c r="C986" s="21" t="n"/>
      <c r="D986" s="22" t="n"/>
      <c r="E986" s="22">
        <f>IFERROR(+VLOOKUP(C986,Master!B:C,2,0),"")</f>
        <v/>
      </c>
      <c r="F986" s="23">
        <f>LOOKUP(2,1/((Purchase!$D$1:$D$500=C986)*(Purchase!$A$1:$A$500&lt;=A986)),Purchase!$G$1:$G$500)</f>
        <v/>
      </c>
      <c r="G986" s="23">
        <f>+D986*F986</f>
        <v/>
      </c>
    </row>
    <row r="987">
      <c r="A987" s="8" t="n"/>
      <c r="B987" s="8" t="n"/>
      <c r="C987" s="21" t="n"/>
      <c r="D987" s="22" t="n"/>
      <c r="E987" s="22">
        <f>IFERROR(+VLOOKUP(C987,Master!B:C,2,0),"")</f>
        <v/>
      </c>
      <c r="F987" s="23">
        <f>LOOKUP(2,1/((Purchase!$D$1:$D$500=C987)*(Purchase!$A$1:$A$500&lt;=A987)),Purchase!$G$1:$G$500)</f>
        <v/>
      </c>
      <c r="G987" s="23">
        <f>+D987*F987</f>
        <v/>
      </c>
    </row>
    <row r="988">
      <c r="A988" s="8" t="n"/>
      <c r="B988" s="8" t="n"/>
      <c r="C988" s="21" t="n"/>
      <c r="D988" s="22" t="n"/>
      <c r="E988" s="22">
        <f>IFERROR(+VLOOKUP(C988,Master!B:C,2,0),"")</f>
        <v/>
      </c>
      <c r="F988" s="23">
        <f>LOOKUP(2,1/((Purchase!$D$1:$D$500=C988)*(Purchase!$A$1:$A$500&lt;=A988)),Purchase!$G$1:$G$500)</f>
        <v/>
      </c>
      <c r="G988" s="23">
        <f>+D988*F988</f>
        <v/>
      </c>
    </row>
    <row r="989">
      <c r="A989" s="8" t="n"/>
      <c r="B989" s="8" t="n"/>
      <c r="C989" s="21" t="n"/>
      <c r="D989" s="22" t="n"/>
      <c r="E989" s="22">
        <f>IFERROR(+VLOOKUP(C989,Master!B:C,2,0),"")</f>
        <v/>
      </c>
      <c r="F989" s="23">
        <f>LOOKUP(2,1/((Purchase!$D$1:$D$500=C989)*(Purchase!$A$1:$A$500&lt;=A989)),Purchase!$G$1:$G$500)</f>
        <v/>
      </c>
      <c r="G989" s="23">
        <f>+D989*F989</f>
        <v/>
      </c>
    </row>
    <row r="990">
      <c r="A990" s="8" t="n"/>
      <c r="B990" s="8" t="n"/>
      <c r="C990" s="21" t="n"/>
      <c r="D990" s="22" t="n"/>
      <c r="E990" s="22">
        <f>IFERROR(+VLOOKUP(C990,Master!B:C,2,0),"")</f>
        <v/>
      </c>
      <c r="F990" s="23">
        <f>LOOKUP(2,1/((Purchase!$D$1:$D$500=C990)*(Purchase!$A$1:$A$500&lt;=A990)),Purchase!$G$1:$G$500)</f>
        <v/>
      </c>
      <c r="G990" s="23">
        <f>+D990*F990</f>
        <v/>
      </c>
    </row>
    <row r="991">
      <c r="A991" s="8" t="n"/>
      <c r="B991" s="8" t="n"/>
      <c r="C991" s="21" t="n"/>
      <c r="D991" s="22" t="n"/>
      <c r="E991" s="22">
        <f>IFERROR(+VLOOKUP(C991,Master!B:C,2,0),"")</f>
        <v/>
      </c>
      <c r="F991" s="23">
        <f>LOOKUP(2,1/((Purchase!$D$1:$D$500=C991)*(Purchase!$A$1:$A$500&lt;=A991)),Purchase!$G$1:$G$500)</f>
        <v/>
      </c>
      <c r="G991" s="23">
        <f>+D991*F991</f>
        <v/>
      </c>
    </row>
    <row r="992">
      <c r="A992" s="8" t="n"/>
      <c r="B992" s="8" t="n"/>
      <c r="C992" s="21" t="n"/>
      <c r="D992" s="22" t="n"/>
      <c r="E992" s="22">
        <f>IFERROR(+VLOOKUP(C992,Master!B:C,2,0),"")</f>
        <v/>
      </c>
      <c r="F992" s="23">
        <f>LOOKUP(2,1/((Purchase!$D$1:$D$500=C992)*(Purchase!$A$1:$A$500&lt;=A992)),Purchase!$G$1:$G$500)</f>
        <v/>
      </c>
      <c r="G992" s="23">
        <f>+D992*F992</f>
        <v/>
      </c>
    </row>
    <row r="993">
      <c r="A993" s="8" t="n"/>
      <c r="B993" s="8" t="n"/>
      <c r="C993" s="21" t="n"/>
      <c r="D993" s="22" t="n"/>
      <c r="E993" s="22">
        <f>IFERROR(+VLOOKUP(C993,Master!B:C,2,0),"")</f>
        <v/>
      </c>
      <c r="F993" s="23">
        <f>LOOKUP(2,1/((Purchase!$D$1:$D$500=C993)*(Purchase!$A$1:$A$500&lt;=A993)),Purchase!$G$1:$G$500)</f>
        <v/>
      </c>
      <c r="G993" s="23">
        <f>+D993*F993</f>
        <v/>
      </c>
    </row>
    <row r="994">
      <c r="A994" s="8" t="n"/>
      <c r="B994" s="8" t="n"/>
      <c r="C994" s="21" t="n"/>
      <c r="D994" s="22" t="n"/>
      <c r="E994" s="22">
        <f>IFERROR(+VLOOKUP(C994,Master!B:C,2,0),"")</f>
        <v/>
      </c>
      <c r="F994" s="23">
        <f>LOOKUP(2,1/((Purchase!$D$1:$D$500=C994)*(Purchase!$A$1:$A$500&lt;=A994)),Purchase!$G$1:$G$500)</f>
        <v/>
      </c>
      <c r="G994" s="23">
        <f>+D994*F994</f>
        <v/>
      </c>
    </row>
    <row r="995">
      <c r="A995" s="8" t="n"/>
      <c r="B995" s="8" t="n"/>
      <c r="C995" s="21" t="n"/>
      <c r="D995" s="22" t="n"/>
      <c r="E995" s="22">
        <f>IFERROR(+VLOOKUP(C995,Master!B:C,2,0),"")</f>
        <v/>
      </c>
      <c r="F995" s="23">
        <f>LOOKUP(2,1/((Purchase!$D$1:$D$500=C995)*(Purchase!$A$1:$A$500&lt;=A995)),Purchase!$G$1:$G$500)</f>
        <v/>
      </c>
      <c r="G995" s="23">
        <f>+D995*F995</f>
        <v/>
      </c>
    </row>
    <row r="996">
      <c r="A996" s="8" t="n"/>
      <c r="B996" s="8" t="n"/>
      <c r="C996" s="21" t="n"/>
      <c r="D996" s="22" t="n"/>
      <c r="E996" s="22">
        <f>IFERROR(+VLOOKUP(C996,Master!B:C,2,0),"")</f>
        <v/>
      </c>
      <c r="F996" s="23">
        <f>LOOKUP(2,1/((Purchase!$D$1:$D$500=C996)*(Purchase!$A$1:$A$500&lt;=A996)),Purchase!$G$1:$G$500)</f>
        <v/>
      </c>
      <c r="G996" s="23">
        <f>+D996*F996</f>
        <v/>
      </c>
    </row>
    <row r="997">
      <c r="A997" s="8" t="n"/>
      <c r="B997" s="8" t="n"/>
      <c r="C997" s="21" t="n"/>
      <c r="D997" s="22" t="n"/>
      <c r="E997" s="22">
        <f>IFERROR(+VLOOKUP(C997,Master!B:C,2,0),"")</f>
        <v/>
      </c>
      <c r="F997" s="23">
        <f>LOOKUP(2,1/((Purchase!$D$1:$D$500=C997)*(Purchase!$A$1:$A$500&lt;=A997)),Purchase!$G$1:$G$500)</f>
        <v/>
      </c>
      <c r="G997" s="23">
        <f>+D997*F997</f>
        <v/>
      </c>
    </row>
    <row r="998">
      <c r="A998" s="8" t="n"/>
      <c r="B998" s="8" t="n"/>
      <c r="C998" s="21" t="n"/>
      <c r="D998" s="22" t="n"/>
      <c r="E998" s="22">
        <f>IFERROR(+VLOOKUP(C998,Master!B:C,2,0),"")</f>
        <v/>
      </c>
      <c r="F998" s="23">
        <f>LOOKUP(2,1/((Purchase!$D$1:$D$500=C998)*(Purchase!$A$1:$A$500&lt;=A998)),Purchase!$G$1:$G$500)</f>
        <v/>
      </c>
      <c r="G998" s="23">
        <f>+D998*F998</f>
        <v/>
      </c>
    </row>
    <row r="999">
      <c r="A999" s="8" t="n"/>
      <c r="B999" s="8" t="n"/>
      <c r="C999" s="21" t="n"/>
      <c r="D999" s="22" t="n"/>
      <c r="E999" s="22">
        <f>IFERROR(+VLOOKUP(C999,Master!B:C,2,0),"")</f>
        <v/>
      </c>
      <c r="F999" s="23">
        <f>LOOKUP(2,1/((Purchase!$D$1:$D$500=C999)*(Purchase!$A$1:$A$500&lt;=A999)),Purchase!$G$1:$G$500)</f>
        <v/>
      </c>
      <c r="G999" s="23">
        <f>+D999*F999</f>
        <v/>
      </c>
    </row>
    <row r="1000">
      <c r="A1000" s="8" t="n"/>
      <c r="B1000" s="8" t="n"/>
      <c r="C1000" s="21" t="n"/>
      <c r="D1000" s="22" t="n"/>
      <c r="E1000" s="22">
        <f>IFERROR(+VLOOKUP(C1000,Master!B:C,2,0),"")</f>
        <v/>
      </c>
      <c r="F1000" s="23">
        <f>LOOKUP(2,1/((Purchase!$D$1:$D$500=C1000)*(Purchase!$A$1:$A$500&lt;=A1000)),Purchase!$G$1:$G$500)</f>
        <v/>
      </c>
      <c r="G1000" s="23">
        <f>+D1000*F1000</f>
        <v/>
      </c>
    </row>
    <row r="1001">
      <c r="A1001" s="8" t="n"/>
      <c r="B1001" s="8" t="n"/>
      <c r="C1001" s="21" t="n"/>
      <c r="D1001" s="22" t="n"/>
      <c r="E1001" s="22">
        <f>IFERROR(+VLOOKUP(C1001,Master!B:C,2,0),"")</f>
        <v/>
      </c>
      <c r="F1001" s="23">
        <f>LOOKUP(2,1/((Purchase!$D$1:$D$500=C1001)*(Purchase!$A$1:$A$500&lt;=A1001)),Purchase!$G$1:$G$500)</f>
        <v/>
      </c>
      <c r="G1001" s="23">
        <f>+D1001*F1001</f>
        <v/>
      </c>
    </row>
    <row r="1002">
      <c r="A1002" s="8" t="n"/>
      <c r="B1002" s="8" t="n"/>
      <c r="C1002" s="21" t="n"/>
      <c r="D1002" s="22" t="n"/>
      <c r="E1002" s="22">
        <f>IFERROR(+VLOOKUP(C1002,Master!B:C,2,0),"")</f>
        <v/>
      </c>
      <c r="F1002" s="23">
        <f>LOOKUP(2,1/((Purchase!$D$1:$D$500=C1002)*(Purchase!$A$1:$A$500&lt;=A1002)),Purchase!$G$1:$G$500)</f>
        <v/>
      </c>
      <c r="G1002" s="23">
        <f>+D1002*F1002</f>
        <v/>
      </c>
    </row>
    <row r="1003">
      <c r="A1003" s="8" t="n"/>
      <c r="B1003" s="8" t="n"/>
      <c r="C1003" s="21" t="n"/>
      <c r="D1003" s="22" t="n"/>
      <c r="E1003" s="22">
        <f>IFERROR(+VLOOKUP(C1003,Master!B:C,2,0),"")</f>
        <v/>
      </c>
      <c r="F1003" s="23">
        <f>LOOKUP(2,1/((Purchase!$D$1:$D$500=C1003)*(Purchase!$A$1:$A$500&lt;=A1003)),Purchase!$G$1:$G$500)</f>
        <v/>
      </c>
      <c r="G1003" s="23">
        <f>+D1003*F1003</f>
        <v/>
      </c>
    </row>
    <row r="1004">
      <c r="A1004" s="8" t="n"/>
      <c r="B1004" s="8" t="n"/>
      <c r="C1004" s="21" t="n"/>
      <c r="D1004" s="22" t="n"/>
      <c r="E1004" s="22">
        <f>IFERROR(+VLOOKUP(C1004,Master!B:C,2,0),"")</f>
        <v/>
      </c>
      <c r="F1004" s="23">
        <f>LOOKUP(2,1/((Purchase!$D$1:$D$500=C1004)*(Purchase!$A$1:$A$500&lt;=A1004)),Purchase!$G$1:$G$500)</f>
        <v/>
      </c>
      <c r="G1004" s="23">
        <f>+D1004*F1004</f>
        <v/>
      </c>
    </row>
    <row r="1005">
      <c r="A1005" s="8" t="n"/>
      <c r="B1005" s="8" t="n"/>
      <c r="C1005" s="21" t="n"/>
      <c r="D1005" s="22" t="n"/>
      <c r="E1005" s="22">
        <f>IFERROR(+VLOOKUP(C1005,Master!B:C,2,0),"")</f>
        <v/>
      </c>
      <c r="F1005" s="23">
        <f>LOOKUP(2,1/((Purchase!$D$1:$D$500=C1005)*(Purchase!$A$1:$A$500&lt;=A1005)),Purchase!$G$1:$G$500)</f>
        <v/>
      </c>
      <c r="G1005" s="23">
        <f>+D1005*F1005</f>
        <v/>
      </c>
    </row>
    <row r="1006">
      <c r="A1006" s="8" t="n"/>
      <c r="B1006" s="8" t="n"/>
      <c r="C1006" s="21" t="n"/>
      <c r="D1006" s="22" t="n"/>
      <c r="E1006" s="22">
        <f>IFERROR(+VLOOKUP(C1006,Master!B:C,2,0),"")</f>
        <v/>
      </c>
      <c r="F1006" s="23">
        <f>LOOKUP(2,1/((Purchase!$D$1:$D$500=C1006)*(Purchase!$A$1:$A$500&lt;=A1006)),Purchase!$G$1:$G$500)</f>
        <v/>
      </c>
      <c r="G1006" s="23">
        <f>+D1006*F1006</f>
        <v/>
      </c>
    </row>
    <row r="1007">
      <c r="A1007" s="8" t="n"/>
      <c r="B1007" s="8" t="n"/>
      <c r="C1007" s="21" t="n"/>
      <c r="D1007" s="22" t="n"/>
      <c r="E1007" s="22">
        <f>IFERROR(+VLOOKUP(C1007,Master!B:C,2,0),"")</f>
        <v/>
      </c>
      <c r="F1007" s="23">
        <f>LOOKUP(2,1/((Purchase!$D$1:$D$500=C1007)*(Purchase!$A$1:$A$500&lt;=A1007)),Purchase!$G$1:$G$500)</f>
        <v/>
      </c>
      <c r="G1007" s="23">
        <f>+D1007*F1007</f>
        <v/>
      </c>
    </row>
    <row r="1008">
      <c r="A1008" s="8" t="n"/>
      <c r="B1008" s="8" t="n"/>
      <c r="C1008" s="21" t="n"/>
      <c r="D1008" s="22" t="n"/>
      <c r="E1008" s="22">
        <f>IFERROR(+VLOOKUP(C1008,Master!B:C,2,0),"")</f>
        <v/>
      </c>
      <c r="F1008" s="23">
        <f>LOOKUP(2,1/((Purchase!$D$1:$D$500=C1008)*(Purchase!$A$1:$A$500&lt;=A1008)),Purchase!$G$1:$G$500)</f>
        <v/>
      </c>
      <c r="G1008" s="23">
        <f>+D1008*F1008</f>
        <v/>
      </c>
    </row>
    <row r="1009">
      <c r="A1009" s="8" t="n"/>
      <c r="B1009" s="8" t="n"/>
      <c r="C1009" s="21" t="n"/>
      <c r="D1009" s="22" t="n"/>
      <c r="E1009" s="22">
        <f>IFERROR(+VLOOKUP(C1009,Master!B:C,2,0),"")</f>
        <v/>
      </c>
      <c r="F1009" s="23">
        <f>LOOKUP(2,1/((Purchase!$D$1:$D$500=C1009)*(Purchase!$A$1:$A$500&lt;=A1009)),Purchase!$G$1:$G$500)</f>
        <v/>
      </c>
      <c r="G1009" s="23">
        <f>+D1009*F1009</f>
        <v/>
      </c>
    </row>
    <row r="1010">
      <c r="A1010" s="8" t="n"/>
      <c r="B1010" s="8" t="n"/>
      <c r="C1010" s="21" t="n"/>
      <c r="D1010" s="22" t="n"/>
      <c r="E1010" s="22">
        <f>IFERROR(+VLOOKUP(C1010,Master!B:C,2,0),"")</f>
        <v/>
      </c>
      <c r="F1010" s="23">
        <f>LOOKUP(2,1/((Purchase!$D$1:$D$500=C1010)*(Purchase!$A$1:$A$500&lt;=A1010)),Purchase!$G$1:$G$500)</f>
        <v/>
      </c>
      <c r="G1010" s="23">
        <f>+D1010*F1010</f>
        <v/>
      </c>
    </row>
    <row r="1011">
      <c r="A1011" s="8" t="n"/>
      <c r="B1011" s="8" t="n"/>
      <c r="C1011" s="21" t="n"/>
      <c r="D1011" s="22" t="n"/>
      <c r="E1011" s="22">
        <f>IFERROR(+VLOOKUP(C1011,Master!B:C,2,0),"")</f>
        <v/>
      </c>
      <c r="F1011" s="23">
        <f>LOOKUP(2,1/((Purchase!$D$1:$D$500=C1011)*(Purchase!$A$1:$A$500&lt;=A1011)),Purchase!$G$1:$G$500)</f>
        <v/>
      </c>
      <c r="G1011" s="23">
        <f>+D1011*F1011</f>
        <v/>
      </c>
    </row>
    <row r="1012">
      <c r="A1012" s="8" t="n"/>
      <c r="B1012" s="8" t="n"/>
      <c r="C1012" s="21" t="n"/>
      <c r="D1012" s="22" t="n"/>
      <c r="E1012" s="22">
        <f>IFERROR(+VLOOKUP(C1012,Master!B:C,2,0),"")</f>
        <v/>
      </c>
      <c r="F1012" s="23">
        <f>LOOKUP(2,1/((Purchase!$D$1:$D$500=C1012)*(Purchase!$A$1:$A$500&lt;=A1012)),Purchase!$G$1:$G$500)</f>
        <v/>
      </c>
      <c r="G1012" s="23">
        <f>+D1012*F1012</f>
        <v/>
      </c>
    </row>
    <row r="1013">
      <c r="A1013" s="8" t="n"/>
      <c r="B1013" s="8" t="n"/>
      <c r="C1013" s="21" t="n"/>
      <c r="D1013" s="22" t="n"/>
      <c r="E1013" s="22">
        <f>IFERROR(+VLOOKUP(C1013,Master!B:C,2,0),"")</f>
        <v/>
      </c>
      <c r="F1013" s="23">
        <f>LOOKUP(2,1/((Purchase!$D$1:$D$500=C1013)*(Purchase!$A$1:$A$500&lt;=A1013)),Purchase!$G$1:$G$500)</f>
        <v/>
      </c>
      <c r="G1013" s="23">
        <f>+D1013*F1013</f>
        <v/>
      </c>
    </row>
    <row r="1014">
      <c r="A1014" s="8" t="n"/>
      <c r="B1014" s="8" t="n"/>
      <c r="C1014" s="21" t="n"/>
      <c r="D1014" s="22" t="n"/>
      <c r="E1014" s="22">
        <f>IFERROR(+VLOOKUP(C1014,Master!B:C,2,0),"")</f>
        <v/>
      </c>
      <c r="F1014" s="23">
        <f>LOOKUP(2,1/((Purchase!$D$1:$D$500=C1014)*(Purchase!$A$1:$A$500&lt;=A1014)),Purchase!$G$1:$G$500)</f>
        <v/>
      </c>
      <c r="G1014" s="23">
        <f>+D1014*F1014</f>
        <v/>
      </c>
    </row>
    <row r="1015">
      <c r="A1015" s="8" t="n"/>
      <c r="B1015" s="8" t="n"/>
      <c r="C1015" s="21" t="n"/>
      <c r="D1015" s="22" t="n"/>
      <c r="E1015" s="22">
        <f>IFERROR(+VLOOKUP(C1015,Master!B:C,2,0),"")</f>
        <v/>
      </c>
      <c r="F1015" s="23">
        <f>LOOKUP(2,1/((Purchase!$D$1:$D$500=C1015)*(Purchase!$A$1:$A$500&lt;=A1015)),Purchase!$G$1:$G$500)</f>
        <v/>
      </c>
      <c r="G1015" s="23">
        <f>+D1015*F1015</f>
        <v/>
      </c>
    </row>
    <row r="1016">
      <c r="A1016" s="8" t="n"/>
      <c r="B1016" s="8" t="n"/>
      <c r="C1016" s="21" t="n"/>
      <c r="D1016" s="22" t="n"/>
      <c r="E1016" s="22">
        <f>IFERROR(+VLOOKUP(C1016,Master!B:C,2,0),"")</f>
        <v/>
      </c>
      <c r="F1016" s="23">
        <f>LOOKUP(2,1/((Purchase!$D$1:$D$500=C1016)*(Purchase!$A$1:$A$500&lt;=A1016)),Purchase!$G$1:$G$500)</f>
        <v/>
      </c>
      <c r="G1016" s="23">
        <f>+D1016*F1016</f>
        <v/>
      </c>
    </row>
    <row r="1017">
      <c r="A1017" s="8" t="n"/>
      <c r="B1017" s="8" t="n"/>
      <c r="C1017" s="21" t="n"/>
      <c r="D1017" s="22" t="n"/>
      <c r="E1017" s="22">
        <f>IFERROR(+VLOOKUP(C1017,Master!B:C,2,0),"")</f>
        <v/>
      </c>
      <c r="F1017" s="23">
        <f>LOOKUP(2,1/((Purchase!$D$1:$D$500=C1017)*(Purchase!$A$1:$A$500&lt;=A1017)),Purchase!$G$1:$G$500)</f>
        <v/>
      </c>
      <c r="G1017" s="23">
        <f>+D1017*F1017</f>
        <v/>
      </c>
    </row>
    <row r="1018">
      <c r="A1018" s="8" t="n"/>
      <c r="B1018" s="8" t="n"/>
      <c r="C1018" s="21" t="n"/>
      <c r="D1018" s="22" t="n"/>
      <c r="E1018" s="22">
        <f>IFERROR(+VLOOKUP(C1018,Master!B:C,2,0),"")</f>
        <v/>
      </c>
      <c r="F1018" s="23">
        <f>LOOKUP(2,1/((Purchase!$D$1:$D$500=C1018)*(Purchase!$A$1:$A$500&lt;=A1018)),Purchase!$G$1:$G$500)</f>
        <v/>
      </c>
      <c r="G1018" s="23">
        <f>+D1018*F1018</f>
        <v/>
      </c>
    </row>
    <row r="1019">
      <c r="A1019" s="8" t="n"/>
      <c r="B1019" s="8" t="n"/>
      <c r="C1019" s="21" t="n"/>
      <c r="D1019" s="22" t="n"/>
      <c r="E1019" s="22">
        <f>IFERROR(+VLOOKUP(C1019,Master!B:C,2,0),"")</f>
        <v/>
      </c>
      <c r="F1019" s="23">
        <f>LOOKUP(2,1/((Purchase!$D$1:$D$500=C1019)*(Purchase!$A$1:$A$500&lt;=A1019)),Purchase!$G$1:$G$500)</f>
        <v/>
      </c>
      <c r="G1019" s="23">
        <f>+D1019*F1019</f>
        <v/>
      </c>
    </row>
    <row r="1020">
      <c r="A1020" s="8" t="n"/>
      <c r="B1020" s="8" t="n"/>
      <c r="C1020" s="21" t="n"/>
      <c r="D1020" s="22" t="n"/>
      <c r="E1020" s="22">
        <f>IFERROR(+VLOOKUP(C1020,Master!B:C,2,0),"")</f>
        <v/>
      </c>
      <c r="F1020" s="23">
        <f>LOOKUP(2,1/((Purchase!$D$1:$D$500=C1020)*(Purchase!$A$1:$A$500&lt;=A1020)),Purchase!$G$1:$G$500)</f>
        <v/>
      </c>
      <c r="G1020" s="23">
        <f>+D1020*F1020</f>
        <v/>
      </c>
    </row>
    <row r="1021">
      <c r="A1021" s="8" t="n"/>
      <c r="B1021" s="8" t="n"/>
      <c r="C1021" s="21" t="n"/>
      <c r="D1021" s="22" t="n"/>
      <c r="E1021" s="22">
        <f>IFERROR(+VLOOKUP(C1021,Master!B:C,2,0),"")</f>
        <v/>
      </c>
      <c r="F1021" s="23">
        <f>LOOKUP(2,1/((Purchase!$D$1:$D$500=C1021)*(Purchase!$A$1:$A$500&lt;=A1021)),Purchase!$G$1:$G$500)</f>
        <v/>
      </c>
      <c r="G1021" s="23">
        <f>+D1021*F1021</f>
        <v/>
      </c>
    </row>
    <row r="1022">
      <c r="A1022" s="8" t="n"/>
      <c r="B1022" s="8" t="n"/>
      <c r="C1022" s="21" t="n"/>
      <c r="D1022" s="22" t="n"/>
      <c r="E1022" s="22">
        <f>IFERROR(+VLOOKUP(C1022,Master!B:C,2,0),"")</f>
        <v/>
      </c>
      <c r="F1022" s="23">
        <f>LOOKUP(2,1/((Purchase!$D$1:$D$500=C1022)*(Purchase!$A$1:$A$500&lt;=A1022)),Purchase!$G$1:$G$500)</f>
        <v/>
      </c>
      <c r="G1022" s="23">
        <f>+D1022*F1022</f>
        <v/>
      </c>
    </row>
    <row r="1023">
      <c r="A1023" s="8" t="n"/>
      <c r="B1023" s="8" t="n"/>
      <c r="C1023" s="21" t="n"/>
      <c r="D1023" s="22" t="n"/>
      <c r="E1023" s="22">
        <f>IFERROR(+VLOOKUP(C1023,Master!B:C,2,0),"")</f>
        <v/>
      </c>
      <c r="F1023" s="23">
        <f>LOOKUP(2,1/((Purchase!$D$1:$D$500=C1023)*(Purchase!$A$1:$A$500&lt;=A1023)),Purchase!$G$1:$G$500)</f>
        <v/>
      </c>
      <c r="G1023" s="23">
        <f>+D1023*F1023</f>
        <v/>
      </c>
    </row>
    <row r="1024">
      <c r="A1024" s="8" t="n"/>
      <c r="B1024" s="8" t="n"/>
      <c r="C1024" s="21" t="n"/>
      <c r="D1024" s="22" t="n"/>
      <c r="E1024" s="22">
        <f>IFERROR(+VLOOKUP(C1024,Master!B:C,2,0),"")</f>
        <v/>
      </c>
      <c r="F1024" s="23">
        <f>LOOKUP(2,1/((Purchase!$D$1:$D$500=C1024)*(Purchase!$A$1:$A$500&lt;=A1024)),Purchase!$G$1:$G$500)</f>
        <v/>
      </c>
      <c r="G1024" s="23">
        <f>+D1024*F1024</f>
        <v/>
      </c>
    </row>
    <row r="1025">
      <c r="A1025" s="8" t="n"/>
      <c r="B1025" s="8" t="n"/>
      <c r="C1025" s="21" t="n"/>
      <c r="D1025" s="22" t="n"/>
      <c r="E1025" s="22">
        <f>IFERROR(+VLOOKUP(C1025,Master!B:C,2,0),"")</f>
        <v/>
      </c>
      <c r="F1025" s="23">
        <f>LOOKUP(2,1/((Purchase!$D$1:$D$500=C1025)*(Purchase!$A$1:$A$500&lt;=A1025)),Purchase!$G$1:$G$500)</f>
        <v/>
      </c>
      <c r="G1025" s="23">
        <f>+D1025*F1025</f>
        <v/>
      </c>
    </row>
    <row r="1026">
      <c r="A1026" s="8" t="n"/>
      <c r="B1026" s="8" t="n"/>
      <c r="C1026" s="21" t="n"/>
      <c r="D1026" s="22" t="n"/>
      <c r="E1026" s="22">
        <f>IFERROR(+VLOOKUP(C1026,Master!B:C,2,0),"")</f>
        <v/>
      </c>
      <c r="F1026" s="23">
        <f>LOOKUP(2,1/((Purchase!$D$1:$D$500=C1026)*(Purchase!$A$1:$A$500&lt;=A1026)),Purchase!$G$1:$G$500)</f>
        <v/>
      </c>
      <c r="G1026" s="23">
        <f>+D1026*F1026</f>
        <v/>
      </c>
    </row>
    <row r="1027">
      <c r="A1027" s="8" t="n"/>
      <c r="B1027" s="8" t="n"/>
      <c r="C1027" s="21" t="n"/>
      <c r="D1027" s="22" t="n"/>
      <c r="E1027" s="22">
        <f>IFERROR(+VLOOKUP(C1027,Master!B:C,2,0),"")</f>
        <v/>
      </c>
      <c r="F1027" s="23">
        <f>LOOKUP(2,1/((Purchase!$D$1:$D$500=C1027)*(Purchase!$A$1:$A$500&lt;=A1027)),Purchase!$G$1:$G$500)</f>
        <v/>
      </c>
      <c r="G1027" s="23">
        <f>+D1027*F1027</f>
        <v/>
      </c>
    </row>
    <row r="1028">
      <c r="A1028" s="8" t="n"/>
      <c r="B1028" s="8" t="n"/>
      <c r="C1028" s="21" t="n"/>
      <c r="D1028" s="22" t="n"/>
      <c r="E1028" s="22">
        <f>IFERROR(+VLOOKUP(C1028,Master!B:C,2,0),"")</f>
        <v/>
      </c>
      <c r="F1028" s="23">
        <f>LOOKUP(2,1/((Purchase!$D$1:$D$500=C1028)*(Purchase!$A$1:$A$500&lt;=A1028)),Purchase!$G$1:$G$500)</f>
        <v/>
      </c>
      <c r="G1028" s="23">
        <f>+D1028*F1028</f>
        <v/>
      </c>
    </row>
    <row r="1029">
      <c r="A1029" s="8" t="n"/>
      <c r="B1029" s="8" t="n"/>
      <c r="C1029" s="21" t="n"/>
      <c r="D1029" s="22" t="n"/>
      <c r="E1029" s="22">
        <f>IFERROR(+VLOOKUP(C1029,Master!B:C,2,0),"")</f>
        <v/>
      </c>
      <c r="F1029" s="23">
        <f>LOOKUP(2,1/((Purchase!$D$1:$D$500=C1029)*(Purchase!$A$1:$A$500&lt;=A1029)),Purchase!$G$1:$G$500)</f>
        <v/>
      </c>
      <c r="G1029" s="23">
        <f>+D1029*F1029</f>
        <v/>
      </c>
    </row>
    <row r="1030">
      <c r="A1030" s="8" t="n"/>
      <c r="B1030" s="8" t="n"/>
      <c r="C1030" s="21" t="n"/>
      <c r="D1030" s="22" t="n"/>
      <c r="E1030" s="22">
        <f>IFERROR(+VLOOKUP(C1030,Master!B:C,2,0),"")</f>
        <v/>
      </c>
      <c r="F1030" s="23">
        <f>LOOKUP(2,1/((Purchase!$D$1:$D$500=C1030)*(Purchase!$A$1:$A$500&lt;=A1030)),Purchase!$G$1:$G$500)</f>
        <v/>
      </c>
      <c r="G1030" s="23">
        <f>+D1030*F1030</f>
        <v/>
      </c>
    </row>
    <row r="1031">
      <c r="A1031" s="8" t="n"/>
      <c r="B1031" s="8" t="n"/>
      <c r="C1031" s="21" t="n"/>
      <c r="D1031" s="22" t="n"/>
      <c r="E1031" s="22">
        <f>IFERROR(+VLOOKUP(C1031,Master!B:C,2,0),"")</f>
        <v/>
      </c>
      <c r="F1031" s="23">
        <f>LOOKUP(2,1/((Purchase!$D$1:$D$500=C1031)*(Purchase!$A$1:$A$500&lt;=A1031)),Purchase!$G$1:$G$500)</f>
        <v/>
      </c>
      <c r="G1031" s="23">
        <f>+D1031*F1031</f>
        <v/>
      </c>
    </row>
    <row r="1032">
      <c r="A1032" s="8" t="n"/>
      <c r="B1032" s="8" t="n"/>
      <c r="C1032" s="21" t="n"/>
      <c r="D1032" s="22" t="n"/>
      <c r="E1032" s="22">
        <f>IFERROR(+VLOOKUP(C1032,Master!B:C,2,0),"")</f>
        <v/>
      </c>
      <c r="F1032" s="23">
        <f>LOOKUP(2,1/((Purchase!$D$1:$D$500=C1032)*(Purchase!$A$1:$A$500&lt;=A1032)),Purchase!$G$1:$G$500)</f>
        <v/>
      </c>
      <c r="G1032" s="23">
        <f>+D1032*F1032</f>
        <v/>
      </c>
    </row>
    <row r="1033">
      <c r="A1033" s="8" t="n"/>
      <c r="B1033" s="8" t="n"/>
      <c r="C1033" s="21" t="n"/>
      <c r="D1033" s="22" t="n"/>
      <c r="E1033" s="22">
        <f>IFERROR(+VLOOKUP(C1033,Master!B:C,2,0),"")</f>
        <v/>
      </c>
      <c r="F1033" s="23">
        <f>LOOKUP(2,1/((Purchase!$D$1:$D$500=C1033)*(Purchase!$A$1:$A$500&lt;=A1033)),Purchase!$G$1:$G$500)</f>
        <v/>
      </c>
      <c r="G1033" s="23">
        <f>+D1033*F1033</f>
        <v/>
      </c>
    </row>
    <row r="1034">
      <c r="A1034" s="8" t="n"/>
      <c r="B1034" s="8" t="n"/>
      <c r="C1034" s="21" t="n"/>
      <c r="D1034" s="22" t="n"/>
      <c r="E1034" s="22">
        <f>IFERROR(+VLOOKUP(C1034,Master!B:C,2,0),"")</f>
        <v/>
      </c>
      <c r="F1034" s="23">
        <f>LOOKUP(2,1/((Purchase!$D$1:$D$500=C1034)*(Purchase!$A$1:$A$500&lt;=A1034)),Purchase!$G$1:$G$500)</f>
        <v/>
      </c>
      <c r="G1034" s="23">
        <f>+D1034*F1034</f>
        <v/>
      </c>
    </row>
    <row r="1035">
      <c r="A1035" s="8" t="n"/>
      <c r="B1035" s="8" t="n"/>
      <c r="C1035" s="21" t="n"/>
      <c r="D1035" s="22" t="n"/>
      <c r="E1035" s="22">
        <f>IFERROR(+VLOOKUP(C1035,Master!B:C,2,0),"")</f>
        <v/>
      </c>
      <c r="F1035" s="23">
        <f>LOOKUP(2,1/((Purchase!$D$1:$D$500=C1035)*(Purchase!$A$1:$A$500&lt;=A1035)),Purchase!$G$1:$G$500)</f>
        <v/>
      </c>
      <c r="G1035" s="23">
        <f>+D1035*F1035</f>
        <v/>
      </c>
    </row>
    <row r="1036">
      <c r="A1036" s="8" t="n"/>
      <c r="B1036" s="8" t="n"/>
      <c r="C1036" s="21" t="n"/>
      <c r="D1036" s="22" t="n"/>
      <c r="E1036" s="22">
        <f>IFERROR(+VLOOKUP(C1036,Master!B:C,2,0),"")</f>
        <v/>
      </c>
      <c r="F1036" s="23">
        <f>LOOKUP(2,1/((Purchase!$D$1:$D$500=C1036)*(Purchase!$A$1:$A$500&lt;=A1036)),Purchase!$G$1:$G$500)</f>
        <v/>
      </c>
      <c r="G1036" s="23">
        <f>+D1036*F1036</f>
        <v/>
      </c>
    </row>
    <row r="1037">
      <c r="A1037" s="8" t="n"/>
      <c r="B1037" s="8" t="n"/>
      <c r="C1037" s="21" t="n"/>
      <c r="D1037" s="22" t="n"/>
      <c r="E1037" s="22">
        <f>IFERROR(+VLOOKUP(C1037,Master!B:C,2,0),"")</f>
        <v/>
      </c>
      <c r="F1037" s="23">
        <f>LOOKUP(2,1/((Purchase!$D$1:$D$500=C1037)*(Purchase!$A$1:$A$500&lt;=A1037)),Purchase!$G$1:$G$500)</f>
        <v/>
      </c>
      <c r="G1037" s="23">
        <f>+D1037*F1037</f>
        <v/>
      </c>
    </row>
    <row r="1038">
      <c r="A1038" s="8" t="n"/>
      <c r="B1038" s="8" t="n"/>
      <c r="C1038" s="21" t="n"/>
      <c r="D1038" s="22" t="n"/>
      <c r="E1038" s="22">
        <f>IFERROR(+VLOOKUP(C1038,Master!B:C,2,0),"")</f>
        <v/>
      </c>
      <c r="F1038" s="23">
        <f>LOOKUP(2,1/((Purchase!$D$1:$D$500=C1038)*(Purchase!$A$1:$A$500&lt;=A1038)),Purchase!$G$1:$G$500)</f>
        <v/>
      </c>
      <c r="G1038" s="23">
        <f>+D1038*F1038</f>
        <v/>
      </c>
    </row>
    <row r="1039">
      <c r="A1039" s="8" t="n"/>
      <c r="B1039" s="8" t="n"/>
      <c r="C1039" s="21" t="n"/>
      <c r="D1039" s="22" t="n"/>
      <c r="E1039" s="22">
        <f>IFERROR(+VLOOKUP(C1039,Master!B:C,2,0),"")</f>
        <v/>
      </c>
      <c r="F1039" s="23">
        <f>LOOKUP(2,1/((Purchase!$D$1:$D$500=C1039)*(Purchase!$A$1:$A$500&lt;=A1039)),Purchase!$G$1:$G$500)</f>
        <v/>
      </c>
      <c r="G1039" s="23">
        <f>+D1039*F1039</f>
        <v/>
      </c>
    </row>
    <row r="1040">
      <c r="A1040" s="8" t="n"/>
      <c r="B1040" s="8" t="n"/>
      <c r="C1040" s="21" t="n"/>
      <c r="D1040" s="22" t="n"/>
      <c r="E1040" s="22">
        <f>IFERROR(+VLOOKUP(C1040,Master!B:C,2,0),"")</f>
        <v/>
      </c>
      <c r="F1040" s="23">
        <f>LOOKUP(2,1/((Purchase!$D$1:$D$500=C1040)*(Purchase!$A$1:$A$500&lt;=A1040)),Purchase!$G$1:$G$500)</f>
        <v/>
      </c>
      <c r="G1040" s="23">
        <f>+D1040*F1040</f>
        <v/>
      </c>
    </row>
    <row r="1041">
      <c r="A1041" s="8" t="n"/>
      <c r="B1041" s="8" t="n"/>
      <c r="C1041" s="21" t="n"/>
      <c r="D1041" s="22" t="n"/>
      <c r="E1041" s="22">
        <f>IFERROR(+VLOOKUP(C1041,Master!B:C,2,0),"")</f>
        <v/>
      </c>
      <c r="F1041" s="23">
        <f>LOOKUP(2,1/((Purchase!$D$1:$D$500=C1041)*(Purchase!$A$1:$A$500&lt;=A1041)),Purchase!$G$1:$G$500)</f>
        <v/>
      </c>
      <c r="G1041" s="23">
        <f>+D1041*F1041</f>
        <v/>
      </c>
    </row>
    <row r="1042">
      <c r="A1042" s="8" t="n"/>
      <c r="B1042" s="8" t="n"/>
      <c r="C1042" s="21" t="n"/>
      <c r="D1042" s="22" t="n"/>
      <c r="E1042" s="22">
        <f>IFERROR(+VLOOKUP(C1042,Master!B:C,2,0),"")</f>
        <v/>
      </c>
      <c r="F1042" s="23">
        <f>LOOKUP(2,1/((Purchase!$D$1:$D$500=C1042)*(Purchase!$A$1:$A$500&lt;=A1042)),Purchase!$G$1:$G$500)</f>
        <v/>
      </c>
      <c r="G1042" s="23">
        <f>+D1042*F1042</f>
        <v/>
      </c>
    </row>
    <row r="1043">
      <c r="A1043" s="8" t="n"/>
      <c r="B1043" s="8" t="n"/>
      <c r="C1043" s="21" t="n"/>
      <c r="D1043" s="22" t="n"/>
      <c r="E1043" s="22">
        <f>IFERROR(+VLOOKUP(C1043,Master!B:C,2,0),"")</f>
        <v/>
      </c>
      <c r="F1043" s="23">
        <f>LOOKUP(2,1/((Purchase!$D$1:$D$500=C1043)*(Purchase!$A$1:$A$500&lt;=A1043)),Purchase!$G$1:$G$500)</f>
        <v/>
      </c>
      <c r="G1043" s="23">
        <f>+D1043*F1043</f>
        <v/>
      </c>
    </row>
    <row r="1044">
      <c r="A1044" s="8" t="n"/>
      <c r="B1044" s="8" t="n"/>
      <c r="C1044" s="21" t="n"/>
      <c r="D1044" s="22" t="n"/>
      <c r="E1044" s="22">
        <f>IFERROR(+VLOOKUP(C1044,Master!B:C,2,0),"")</f>
        <v/>
      </c>
      <c r="F1044" s="23">
        <f>LOOKUP(2,1/((Purchase!$D$1:$D$500=C1044)*(Purchase!$A$1:$A$500&lt;=A1044)),Purchase!$G$1:$G$500)</f>
        <v/>
      </c>
      <c r="G1044" s="23">
        <f>+D1044*F1044</f>
        <v/>
      </c>
    </row>
    <row r="1045">
      <c r="A1045" s="8" t="n"/>
      <c r="B1045" s="8" t="n"/>
      <c r="C1045" s="21" t="n"/>
      <c r="D1045" s="22" t="n"/>
      <c r="E1045" s="22">
        <f>IFERROR(+VLOOKUP(C1045,Master!B:C,2,0),"")</f>
        <v/>
      </c>
      <c r="F1045" s="23">
        <f>LOOKUP(2,1/((Purchase!$D$1:$D$500=C1045)*(Purchase!$A$1:$A$500&lt;=A1045)),Purchase!$G$1:$G$500)</f>
        <v/>
      </c>
      <c r="G1045" s="23">
        <f>+D1045*F1045</f>
        <v/>
      </c>
    </row>
    <row r="1046">
      <c r="A1046" s="8" t="n"/>
      <c r="B1046" s="8" t="n"/>
      <c r="C1046" s="21" t="n"/>
      <c r="D1046" s="22" t="n"/>
      <c r="E1046" s="22">
        <f>IFERROR(+VLOOKUP(C1046,Master!B:C,2,0),"")</f>
        <v/>
      </c>
      <c r="F1046" s="23">
        <f>LOOKUP(2,1/((Purchase!$D$1:$D$500=C1046)*(Purchase!$A$1:$A$500&lt;=A1046)),Purchase!$G$1:$G$500)</f>
        <v/>
      </c>
      <c r="G1046" s="23">
        <f>+D1046*F1046</f>
        <v/>
      </c>
    </row>
    <row r="1047">
      <c r="A1047" s="8" t="n"/>
      <c r="B1047" s="8" t="n"/>
      <c r="C1047" s="21" t="n"/>
      <c r="D1047" s="22" t="n"/>
      <c r="E1047" s="22">
        <f>IFERROR(+VLOOKUP(C1047,Master!B:C,2,0),"")</f>
        <v/>
      </c>
      <c r="F1047" s="23">
        <f>LOOKUP(2,1/((Purchase!$D$1:$D$500=C1047)*(Purchase!$A$1:$A$500&lt;=A1047)),Purchase!$G$1:$G$500)</f>
        <v/>
      </c>
      <c r="G1047" s="23">
        <f>+D1047*F1047</f>
        <v/>
      </c>
    </row>
    <row r="1048">
      <c r="A1048" s="8" t="n"/>
      <c r="B1048" s="8" t="n"/>
      <c r="C1048" s="21" t="n"/>
      <c r="D1048" s="22" t="n"/>
      <c r="E1048" s="22">
        <f>IFERROR(+VLOOKUP(C1048,Master!B:C,2,0),"")</f>
        <v/>
      </c>
      <c r="F1048" s="23">
        <f>LOOKUP(2,1/((Purchase!$D$1:$D$500=C1048)*(Purchase!$A$1:$A$500&lt;=A1048)),Purchase!$G$1:$G$500)</f>
        <v/>
      </c>
      <c r="G1048" s="23">
        <f>+D1048*F1048</f>
        <v/>
      </c>
    </row>
    <row r="1049">
      <c r="A1049" s="8" t="n"/>
      <c r="B1049" s="8" t="n"/>
      <c r="C1049" s="21" t="n"/>
      <c r="D1049" s="22" t="n"/>
      <c r="E1049" s="22">
        <f>IFERROR(+VLOOKUP(C1049,Master!B:C,2,0),"")</f>
        <v/>
      </c>
      <c r="F1049" s="23">
        <f>LOOKUP(2,1/((Purchase!$D$1:$D$500=C1049)*(Purchase!$A$1:$A$500&lt;=A1049)),Purchase!$G$1:$G$500)</f>
        <v/>
      </c>
      <c r="G1049" s="23">
        <f>+D1049*F1049</f>
        <v/>
      </c>
    </row>
    <row r="1050">
      <c r="A1050" s="8" t="n"/>
      <c r="B1050" s="8" t="n"/>
      <c r="C1050" s="21" t="n"/>
      <c r="D1050" s="22" t="n"/>
      <c r="E1050" s="22">
        <f>IFERROR(+VLOOKUP(C1050,Master!B:C,2,0),"")</f>
        <v/>
      </c>
      <c r="F1050" s="23">
        <f>LOOKUP(2,1/((Purchase!$D$1:$D$500=C1050)*(Purchase!$A$1:$A$500&lt;=A1050)),Purchase!$G$1:$G$500)</f>
        <v/>
      </c>
      <c r="G1050" s="23">
        <f>+D1050*F1050</f>
        <v/>
      </c>
    </row>
    <row r="1051">
      <c r="A1051" s="8" t="n"/>
      <c r="B1051" s="8" t="n"/>
      <c r="C1051" s="21" t="n"/>
      <c r="D1051" s="22" t="n"/>
      <c r="E1051" s="22">
        <f>IFERROR(+VLOOKUP(C1051,Master!B:C,2,0),"")</f>
        <v/>
      </c>
      <c r="F1051" s="23">
        <f>LOOKUP(2,1/((Purchase!$D$1:$D$500=C1051)*(Purchase!$A$1:$A$500&lt;=A1051)),Purchase!$G$1:$G$500)</f>
        <v/>
      </c>
      <c r="G1051" s="23">
        <f>+D1051*F1051</f>
        <v/>
      </c>
    </row>
    <row r="1052">
      <c r="A1052" s="8" t="n"/>
      <c r="B1052" s="8" t="n"/>
      <c r="C1052" s="21" t="n"/>
      <c r="D1052" s="22" t="n"/>
      <c r="E1052" s="22">
        <f>IFERROR(+VLOOKUP(C1052,Master!B:C,2,0),"")</f>
        <v/>
      </c>
      <c r="F1052" s="23">
        <f>LOOKUP(2,1/((Purchase!$D$1:$D$500=C1052)*(Purchase!$A$1:$A$500&lt;=A1052)),Purchase!$G$1:$G$500)</f>
        <v/>
      </c>
      <c r="G1052" s="23">
        <f>+D1052*F1052</f>
        <v/>
      </c>
    </row>
    <row r="1053">
      <c r="A1053" s="8" t="n"/>
      <c r="B1053" s="8" t="n"/>
      <c r="C1053" s="21" t="n"/>
      <c r="D1053" s="22" t="n"/>
      <c r="E1053" s="22">
        <f>IFERROR(+VLOOKUP(C1053,Master!B:C,2,0),"")</f>
        <v/>
      </c>
      <c r="F1053" s="23">
        <f>LOOKUP(2,1/((Purchase!$D$1:$D$500=C1053)*(Purchase!$A$1:$A$500&lt;=A1053)),Purchase!$G$1:$G$500)</f>
        <v/>
      </c>
      <c r="G1053" s="23">
        <f>+D1053*F1053</f>
        <v/>
      </c>
    </row>
    <row r="1054">
      <c r="A1054" s="8" t="n"/>
      <c r="B1054" s="8" t="n"/>
      <c r="C1054" s="21" t="n"/>
      <c r="D1054" s="22" t="n"/>
      <c r="E1054" s="22">
        <f>IFERROR(+VLOOKUP(C1054,Master!B:C,2,0),"")</f>
        <v/>
      </c>
      <c r="F1054" s="23">
        <f>LOOKUP(2,1/((Purchase!$D$1:$D$500=C1054)*(Purchase!$A$1:$A$500&lt;=A1054)),Purchase!$G$1:$G$500)</f>
        <v/>
      </c>
      <c r="G1054" s="23">
        <f>+D1054*F1054</f>
        <v/>
      </c>
    </row>
    <row r="1055">
      <c r="A1055" s="8" t="n"/>
      <c r="B1055" s="8" t="n"/>
      <c r="C1055" s="21" t="n"/>
      <c r="D1055" s="22" t="n"/>
      <c r="E1055" s="22">
        <f>IFERROR(+VLOOKUP(C1055,Master!B:C,2,0),"")</f>
        <v/>
      </c>
      <c r="F1055" s="23">
        <f>LOOKUP(2,1/((Purchase!$D$1:$D$500=C1055)*(Purchase!$A$1:$A$500&lt;=A1055)),Purchase!$G$1:$G$500)</f>
        <v/>
      </c>
      <c r="G1055" s="23">
        <f>+D1055*F1055</f>
        <v/>
      </c>
    </row>
    <row r="1056">
      <c r="A1056" s="8" t="n"/>
      <c r="B1056" s="8" t="n"/>
      <c r="C1056" s="21" t="n"/>
      <c r="D1056" s="22" t="n"/>
      <c r="E1056" s="22">
        <f>IFERROR(+VLOOKUP(C1056,Master!B:C,2,0),"")</f>
        <v/>
      </c>
      <c r="F1056" s="23">
        <f>LOOKUP(2,1/((Purchase!$D$1:$D$500=C1056)*(Purchase!$A$1:$A$500&lt;=A1056)),Purchase!$G$1:$G$500)</f>
        <v/>
      </c>
      <c r="G1056" s="23">
        <f>+D1056*F1056</f>
        <v/>
      </c>
    </row>
    <row r="1057">
      <c r="A1057" s="8" t="n"/>
      <c r="B1057" s="8" t="n"/>
      <c r="C1057" s="21" t="n"/>
      <c r="D1057" s="22" t="n"/>
      <c r="E1057" s="22">
        <f>IFERROR(+VLOOKUP(C1057,Master!B:C,2,0),"")</f>
        <v/>
      </c>
      <c r="F1057" s="23">
        <f>LOOKUP(2,1/((Purchase!$D$1:$D$500=C1057)*(Purchase!$A$1:$A$500&lt;=A1057)),Purchase!$G$1:$G$500)</f>
        <v/>
      </c>
      <c r="G1057" s="23">
        <f>+D1057*F1057</f>
        <v/>
      </c>
    </row>
    <row r="1058">
      <c r="A1058" s="8" t="n"/>
      <c r="B1058" s="8" t="n"/>
      <c r="C1058" s="21" t="n"/>
      <c r="D1058" s="22" t="n"/>
      <c r="E1058" s="22">
        <f>IFERROR(+VLOOKUP(C1058,Master!B:C,2,0),"")</f>
        <v/>
      </c>
      <c r="F1058" s="23">
        <f>LOOKUP(2,1/((Purchase!$D$1:$D$500=C1058)*(Purchase!$A$1:$A$500&lt;=A1058)),Purchase!$G$1:$G$500)</f>
        <v/>
      </c>
      <c r="G1058" s="23">
        <f>+D1058*F1058</f>
        <v/>
      </c>
    </row>
    <row r="1059">
      <c r="A1059" s="8" t="n"/>
      <c r="B1059" s="8" t="n"/>
      <c r="C1059" s="21" t="n"/>
      <c r="D1059" s="22" t="n"/>
      <c r="E1059" s="22">
        <f>IFERROR(+VLOOKUP(C1059,Master!B:C,2,0),"")</f>
        <v/>
      </c>
      <c r="F1059" s="23">
        <f>LOOKUP(2,1/((Purchase!$D$1:$D$500=C1059)*(Purchase!$A$1:$A$500&lt;=A1059)),Purchase!$G$1:$G$500)</f>
        <v/>
      </c>
      <c r="G1059" s="23">
        <f>+D1059*F1059</f>
        <v/>
      </c>
    </row>
    <row r="1060">
      <c r="A1060" s="8" t="n"/>
      <c r="B1060" s="8" t="n"/>
      <c r="C1060" s="21" t="n"/>
      <c r="D1060" s="22" t="n"/>
      <c r="E1060" s="22">
        <f>IFERROR(+VLOOKUP(C1060,Master!B:C,2,0),"")</f>
        <v/>
      </c>
      <c r="F1060" s="23">
        <f>LOOKUP(2,1/((Purchase!$D$1:$D$500=C1060)*(Purchase!$A$1:$A$500&lt;=A1060)),Purchase!$G$1:$G$500)</f>
        <v/>
      </c>
      <c r="G1060" s="23">
        <f>+D1060*F1060</f>
        <v/>
      </c>
    </row>
    <row r="1061">
      <c r="A1061" s="8" t="n"/>
      <c r="B1061" s="8" t="n"/>
      <c r="C1061" s="21" t="n"/>
      <c r="D1061" s="22" t="n"/>
      <c r="E1061" s="22">
        <f>IFERROR(+VLOOKUP(C1061,Master!B:C,2,0),"")</f>
        <v/>
      </c>
      <c r="F1061" s="23">
        <f>LOOKUP(2,1/((Purchase!$D$1:$D$500=C1061)*(Purchase!$A$1:$A$500&lt;=A1061)),Purchase!$G$1:$G$500)</f>
        <v/>
      </c>
      <c r="G1061" s="23">
        <f>+D1061*F1061</f>
        <v/>
      </c>
    </row>
    <row r="1062">
      <c r="A1062" s="8" t="n"/>
      <c r="B1062" s="8" t="n"/>
      <c r="C1062" s="21" t="n"/>
      <c r="D1062" s="22" t="n"/>
      <c r="E1062" s="22">
        <f>IFERROR(+VLOOKUP(C1062,Master!B:C,2,0),"")</f>
        <v/>
      </c>
      <c r="F1062" s="23">
        <f>LOOKUP(2,1/((Purchase!$D$1:$D$500=C1062)*(Purchase!$A$1:$A$500&lt;=A1062)),Purchase!$G$1:$G$500)</f>
        <v/>
      </c>
      <c r="G1062" s="23">
        <f>+D1062*F1062</f>
        <v/>
      </c>
    </row>
    <row r="1063">
      <c r="A1063" s="8" t="n"/>
      <c r="B1063" s="8" t="n"/>
      <c r="C1063" s="21" t="n"/>
      <c r="D1063" s="22" t="n"/>
      <c r="E1063" s="22">
        <f>IFERROR(+VLOOKUP(C1063,Master!B:C,2,0),"")</f>
        <v/>
      </c>
      <c r="F1063" s="23">
        <f>LOOKUP(2,1/((Purchase!$D$1:$D$500=C1063)*(Purchase!$A$1:$A$500&lt;=A1063)),Purchase!$G$1:$G$500)</f>
        <v/>
      </c>
      <c r="G1063" s="23">
        <f>+D1063*F1063</f>
        <v/>
      </c>
    </row>
    <row r="1064">
      <c r="A1064" s="8" t="n"/>
      <c r="B1064" s="8" t="n"/>
      <c r="C1064" s="21" t="n"/>
      <c r="D1064" s="22" t="n"/>
      <c r="E1064" s="22">
        <f>IFERROR(+VLOOKUP(C1064,Master!B:C,2,0),"")</f>
        <v/>
      </c>
      <c r="F1064" s="23">
        <f>LOOKUP(2,1/((Purchase!$D$1:$D$500=C1064)*(Purchase!$A$1:$A$500&lt;=A1064)),Purchase!$G$1:$G$500)</f>
        <v/>
      </c>
      <c r="G1064" s="23">
        <f>+D1064*F1064</f>
        <v/>
      </c>
    </row>
    <row r="1065">
      <c r="A1065" s="8" t="n"/>
      <c r="B1065" s="8" t="n"/>
      <c r="C1065" s="21" t="n"/>
      <c r="D1065" s="22" t="n"/>
      <c r="E1065" s="22">
        <f>IFERROR(+VLOOKUP(C1065,Master!B:C,2,0),"")</f>
        <v/>
      </c>
      <c r="F1065" s="23">
        <f>LOOKUP(2,1/((Purchase!$D$1:$D$500=C1065)*(Purchase!$A$1:$A$500&lt;=A1065)),Purchase!$G$1:$G$500)</f>
        <v/>
      </c>
      <c r="G1065" s="23">
        <f>+D1065*F1065</f>
        <v/>
      </c>
    </row>
    <row r="1066">
      <c r="A1066" s="8" t="n"/>
      <c r="B1066" s="8" t="n"/>
      <c r="C1066" s="21" t="n"/>
      <c r="D1066" s="22" t="n"/>
      <c r="E1066" s="22">
        <f>IFERROR(+VLOOKUP(C1066,Master!B:C,2,0),"")</f>
        <v/>
      </c>
      <c r="F1066" s="23">
        <f>LOOKUP(2,1/((Purchase!$D$1:$D$500=C1066)*(Purchase!$A$1:$A$500&lt;=A1066)),Purchase!$G$1:$G$500)</f>
        <v/>
      </c>
      <c r="G1066" s="23">
        <f>+D1066*F1066</f>
        <v/>
      </c>
    </row>
    <row r="1067">
      <c r="A1067" s="8" t="n"/>
      <c r="B1067" s="8" t="n"/>
      <c r="C1067" s="21" t="n"/>
      <c r="D1067" s="22" t="n"/>
      <c r="E1067" s="22">
        <f>IFERROR(+VLOOKUP(C1067,Master!B:C,2,0),"")</f>
        <v/>
      </c>
      <c r="F1067" s="23">
        <f>LOOKUP(2,1/((Purchase!$D$1:$D$500=C1067)*(Purchase!$A$1:$A$500&lt;=A1067)),Purchase!$G$1:$G$500)</f>
        <v/>
      </c>
      <c r="G1067" s="23">
        <f>+D1067*F1067</f>
        <v/>
      </c>
    </row>
    <row r="1068">
      <c r="A1068" s="8" t="n"/>
      <c r="B1068" s="8" t="n"/>
      <c r="C1068" s="21" t="n"/>
      <c r="D1068" s="22" t="n"/>
      <c r="E1068" s="22">
        <f>IFERROR(+VLOOKUP(C1068,Master!B:C,2,0),"")</f>
        <v/>
      </c>
      <c r="F1068" s="23">
        <f>LOOKUP(2,1/((Purchase!$D$1:$D$500=C1068)*(Purchase!$A$1:$A$500&lt;=A1068)),Purchase!$G$1:$G$500)</f>
        <v/>
      </c>
      <c r="G1068" s="23">
        <f>+D1068*F1068</f>
        <v/>
      </c>
    </row>
    <row r="1069">
      <c r="A1069" s="8" t="n"/>
      <c r="B1069" s="8" t="n"/>
      <c r="C1069" s="21" t="n"/>
      <c r="D1069" s="22" t="n"/>
      <c r="E1069" s="22">
        <f>IFERROR(+VLOOKUP(C1069,Master!B:C,2,0),"")</f>
        <v/>
      </c>
      <c r="F1069" s="23">
        <f>LOOKUP(2,1/((Purchase!$D$1:$D$500=C1069)*(Purchase!$A$1:$A$500&lt;=A1069)),Purchase!$G$1:$G$500)</f>
        <v/>
      </c>
      <c r="G1069" s="23">
        <f>+D1069*F1069</f>
        <v/>
      </c>
    </row>
    <row r="1070">
      <c r="A1070" s="8" t="n"/>
      <c r="B1070" s="8" t="n"/>
      <c r="C1070" s="21" t="n"/>
      <c r="D1070" s="22" t="n"/>
      <c r="E1070" s="22">
        <f>IFERROR(+VLOOKUP(C1070,Master!B:C,2,0),"")</f>
        <v/>
      </c>
      <c r="F1070" s="23">
        <f>LOOKUP(2,1/((Purchase!$D$1:$D$500=C1070)*(Purchase!$A$1:$A$500&lt;=A1070)),Purchase!$G$1:$G$500)</f>
        <v/>
      </c>
      <c r="G1070" s="23">
        <f>+D1070*F1070</f>
        <v/>
      </c>
    </row>
    <row r="1071">
      <c r="A1071" s="8" t="n"/>
      <c r="B1071" s="8" t="n"/>
      <c r="C1071" s="21" t="n"/>
      <c r="D1071" s="22" t="n"/>
      <c r="E1071" s="22">
        <f>IFERROR(+VLOOKUP(C1071,Master!B:C,2,0),"")</f>
        <v/>
      </c>
      <c r="F1071" s="23">
        <f>LOOKUP(2,1/((Purchase!$D$1:$D$500=C1071)*(Purchase!$A$1:$A$500&lt;=A1071)),Purchase!$G$1:$G$500)</f>
        <v/>
      </c>
      <c r="G1071" s="23">
        <f>+D1071*F1071</f>
        <v/>
      </c>
    </row>
    <row r="1072">
      <c r="A1072" s="8" t="n"/>
      <c r="B1072" s="8" t="n"/>
      <c r="C1072" s="21" t="n"/>
      <c r="D1072" s="22" t="n"/>
      <c r="E1072" s="22">
        <f>IFERROR(+VLOOKUP(C1072,Master!B:C,2,0),"")</f>
        <v/>
      </c>
      <c r="F1072" s="23">
        <f>LOOKUP(2,1/((Purchase!$D$1:$D$500=C1072)*(Purchase!$A$1:$A$500&lt;=A1072)),Purchase!$G$1:$G$500)</f>
        <v/>
      </c>
      <c r="G1072" s="23">
        <f>+D1072*F1072</f>
        <v/>
      </c>
    </row>
    <row r="1073">
      <c r="A1073" s="8" t="n"/>
      <c r="B1073" s="8" t="n"/>
      <c r="C1073" s="21" t="n"/>
      <c r="D1073" s="22" t="n"/>
      <c r="E1073" s="22">
        <f>IFERROR(+VLOOKUP(C1073,Master!B:C,2,0),"")</f>
        <v/>
      </c>
      <c r="F1073" s="23">
        <f>LOOKUP(2,1/((Purchase!$D$1:$D$500=C1073)*(Purchase!$A$1:$A$500&lt;=A1073)),Purchase!$G$1:$G$500)</f>
        <v/>
      </c>
      <c r="G1073" s="23">
        <f>+D1073*F1073</f>
        <v/>
      </c>
    </row>
    <row r="1074">
      <c r="A1074" s="8" t="n"/>
      <c r="B1074" s="8" t="n"/>
      <c r="C1074" s="21" t="n"/>
      <c r="D1074" s="22" t="n"/>
      <c r="E1074" s="22">
        <f>IFERROR(+VLOOKUP(C1074,Master!B:C,2,0),"")</f>
        <v/>
      </c>
      <c r="F1074" s="23">
        <f>LOOKUP(2,1/((Purchase!$D$1:$D$500=C1074)*(Purchase!$A$1:$A$500&lt;=A1074)),Purchase!$G$1:$G$500)</f>
        <v/>
      </c>
      <c r="G1074" s="23">
        <f>+D1074*F1074</f>
        <v/>
      </c>
    </row>
    <row r="1075">
      <c r="A1075" s="8" t="n"/>
      <c r="B1075" s="8" t="n"/>
      <c r="C1075" s="21" t="n"/>
      <c r="D1075" s="22" t="n"/>
      <c r="E1075" s="22">
        <f>IFERROR(+VLOOKUP(C1075,Master!B:C,2,0),"")</f>
        <v/>
      </c>
      <c r="F1075" s="23">
        <f>LOOKUP(2,1/((Purchase!$D$1:$D$500=C1075)*(Purchase!$A$1:$A$500&lt;=A1075)),Purchase!$G$1:$G$500)</f>
        <v/>
      </c>
      <c r="G1075" s="23">
        <f>+D1075*F1075</f>
        <v/>
      </c>
    </row>
    <row r="1076">
      <c r="A1076" s="8" t="n"/>
      <c r="B1076" s="8" t="n"/>
      <c r="C1076" s="21" t="n"/>
      <c r="D1076" s="22" t="n"/>
      <c r="E1076" s="22">
        <f>IFERROR(+VLOOKUP(C1076,Master!B:C,2,0),"")</f>
        <v/>
      </c>
      <c r="F1076" s="23">
        <f>LOOKUP(2,1/((Purchase!$D$1:$D$500=C1076)*(Purchase!$A$1:$A$500&lt;=A1076)),Purchase!$G$1:$G$500)</f>
        <v/>
      </c>
      <c r="G1076" s="23">
        <f>+D1076*F1076</f>
        <v/>
      </c>
    </row>
    <row r="1077">
      <c r="A1077" s="8" t="n"/>
      <c r="B1077" s="8" t="n"/>
      <c r="C1077" s="21" t="n"/>
      <c r="D1077" s="22" t="n"/>
      <c r="E1077" s="22">
        <f>IFERROR(+VLOOKUP(C1077,Master!B:C,2,0),"")</f>
        <v/>
      </c>
      <c r="F1077" s="23">
        <f>LOOKUP(2,1/((Purchase!$D$1:$D$500=C1077)*(Purchase!$A$1:$A$500&lt;=A1077)),Purchase!$G$1:$G$500)</f>
        <v/>
      </c>
      <c r="G1077" s="23">
        <f>+D1077*F1077</f>
        <v/>
      </c>
    </row>
    <row r="1078">
      <c r="A1078" s="8" t="n"/>
      <c r="B1078" s="8" t="n"/>
      <c r="C1078" s="21" t="n"/>
      <c r="D1078" s="22" t="n"/>
      <c r="E1078" s="22">
        <f>IFERROR(+VLOOKUP(C1078,Master!B:C,2,0),"")</f>
        <v/>
      </c>
      <c r="F1078" s="23">
        <f>LOOKUP(2,1/((Purchase!$D$1:$D$500=C1078)*(Purchase!$A$1:$A$500&lt;=A1078)),Purchase!$G$1:$G$500)</f>
        <v/>
      </c>
      <c r="G1078" s="23">
        <f>+D1078*F1078</f>
        <v/>
      </c>
    </row>
    <row r="1079">
      <c r="A1079" s="8" t="n"/>
      <c r="B1079" s="8" t="n"/>
      <c r="C1079" s="21" t="n"/>
      <c r="D1079" s="22" t="n"/>
      <c r="E1079" s="22">
        <f>IFERROR(+VLOOKUP(C1079,Master!B:C,2,0),"")</f>
        <v/>
      </c>
      <c r="F1079" s="23">
        <f>LOOKUP(2,1/((Purchase!$D$1:$D$500=C1079)*(Purchase!$A$1:$A$500&lt;=A1079)),Purchase!$G$1:$G$500)</f>
        <v/>
      </c>
      <c r="G1079" s="23">
        <f>+D1079*F1079</f>
        <v/>
      </c>
    </row>
    <row r="1080">
      <c r="A1080" s="8" t="n"/>
      <c r="B1080" s="8" t="n"/>
      <c r="C1080" s="21" t="n"/>
      <c r="D1080" s="22" t="n"/>
      <c r="E1080" s="22">
        <f>IFERROR(+VLOOKUP(C1080,Master!B:C,2,0),"")</f>
        <v/>
      </c>
      <c r="F1080" s="23">
        <f>LOOKUP(2,1/((Purchase!$D$1:$D$500=C1080)*(Purchase!$A$1:$A$500&lt;=A1080)),Purchase!$G$1:$G$500)</f>
        <v/>
      </c>
      <c r="G1080" s="23">
        <f>+D1080*F1080</f>
        <v/>
      </c>
    </row>
    <row r="1081">
      <c r="A1081" s="8" t="n"/>
      <c r="B1081" s="8" t="n"/>
      <c r="C1081" s="21" t="n"/>
      <c r="D1081" s="22" t="n"/>
      <c r="E1081" s="22">
        <f>IFERROR(+VLOOKUP(C1081,Master!B:C,2,0),"")</f>
        <v/>
      </c>
      <c r="F1081" s="23">
        <f>LOOKUP(2,1/((Purchase!$D$1:$D$500=C1081)*(Purchase!$A$1:$A$500&lt;=A1081)),Purchase!$G$1:$G$500)</f>
        <v/>
      </c>
      <c r="G1081" s="23">
        <f>+D1081*F1081</f>
        <v/>
      </c>
    </row>
    <row r="1082">
      <c r="A1082" s="8" t="n"/>
      <c r="B1082" s="8" t="n"/>
      <c r="C1082" s="21" t="n"/>
      <c r="D1082" s="22" t="n"/>
      <c r="E1082" s="22">
        <f>IFERROR(+VLOOKUP(C1082,Master!B:C,2,0),"")</f>
        <v/>
      </c>
      <c r="F1082" s="23">
        <f>LOOKUP(2,1/((Purchase!$D$1:$D$500=C1082)*(Purchase!$A$1:$A$500&lt;=A1082)),Purchase!$G$1:$G$500)</f>
        <v/>
      </c>
      <c r="G1082" s="23">
        <f>+D1082*F1082</f>
        <v/>
      </c>
    </row>
    <row r="1083">
      <c r="A1083" s="8" t="n"/>
      <c r="B1083" s="8" t="n"/>
      <c r="C1083" s="21" t="n"/>
      <c r="D1083" s="22" t="n"/>
      <c r="E1083" s="22">
        <f>IFERROR(+VLOOKUP(C1083,Master!B:C,2,0),"")</f>
        <v/>
      </c>
      <c r="F1083" s="23">
        <f>LOOKUP(2,1/((Purchase!$D$1:$D$500=C1083)*(Purchase!$A$1:$A$500&lt;=A1083)),Purchase!$G$1:$G$500)</f>
        <v/>
      </c>
      <c r="G1083" s="23">
        <f>+D1083*F1083</f>
        <v/>
      </c>
    </row>
    <row r="1084">
      <c r="A1084" s="8" t="n"/>
      <c r="B1084" s="8" t="n"/>
      <c r="C1084" s="21" t="n"/>
      <c r="D1084" s="22" t="n"/>
      <c r="E1084" s="22">
        <f>IFERROR(+VLOOKUP(C1084,Master!B:C,2,0),"")</f>
        <v/>
      </c>
      <c r="F1084" s="23">
        <f>LOOKUP(2,1/((Purchase!$D$1:$D$500=C1084)*(Purchase!$A$1:$A$500&lt;=A1084)),Purchase!$G$1:$G$500)</f>
        <v/>
      </c>
      <c r="G1084" s="23">
        <f>+D1084*F1084</f>
        <v/>
      </c>
    </row>
    <row r="1085">
      <c r="A1085" s="8" t="n"/>
      <c r="B1085" s="8" t="n"/>
      <c r="C1085" s="21" t="n"/>
      <c r="D1085" s="22" t="n"/>
      <c r="E1085" s="22">
        <f>IFERROR(+VLOOKUP(C1085,Master!B:C,2,0),"")</f>
        <v/>
      </c>
      <c r="F1085" s="23">
        <f>LOOKUP(2,1/((Purchase!$D$1:$D$500=C1085)*(Purchase!$A$1:$A$500&lt;=A1085)),Purchase!$G$1:$G$500)</f>
        <v/>
      </c>
      <c r="G1085" s="23">
        <f>+D1085*F1085</f>
        <v/>
      </c>
    </row>
    <row r="1086">
      <c r="A1086" s="8" t="n"/>
      <c r="B1086" s="8" t="n"/>
      <c r="C1086" s="21" t="n"/>
      <c r="D1086" s="22" t="n"/>
      <c r="E1086" s="22">
        <f>IFERROR(+VLOOKUP(C1086,Master!B:C,2,0),"")</f>
        <v/>
      </c>
      <c r="F1086" s="23">
        <f>LOOKUP(2,1/((Purchase!$D$1:$D$500=C1086)*(Purchase!$A$1:$A$500&lt;=A1086)),Purchase!$G$1:$G$500)</f>
        <v/>
      </c>
      <c r="G1086" s="23">
        <f>+D1086*F1086</f>
        <v/>
      </c>
    </row>
    <row r="1087">
      <c r="A1087" s="8" t="n"/>
      <c r="B1087" s="8" t="n"/>
      <c r="C1087" s="21" t="n"/>
      <c r="D1087" s="22" t="n"/>
      <c r="E1087" s="22">
        <f>IFERROR(+VLOOKUP(C1087,Master!B:C,2,0),"")</f>
        <v/>
      </c>
      <c r="F1087" s="23">
        <f>LOOKUP(2,1/((Purchase!$D$1:$D$500=C1087)*(Purchase!$A$1:$A$500&lt;=A1087)),Purchase!$G$1:$G$500)</f>
        <v/>
      </c>
      <c r="G1087" s="23">
        <f>+D1087*F1087</f>
        <v/>
      </c>
    </row>
    <row r="1088">
      <c r="A1088" s="8" t="n"/>
      <c r="B1088" s="8" t="n"/>
      <c r="C1088" s="21" t="n"/>
      <c r="D1088" s="22" t="n"/>
      <c r="E1088" s="22">
        <f>IFERROR(+VLOOKUP(C1088,Master!B:C,2,0),"")</f>
        <v/>
      </c>
      <c r="F1088" s="23">
        <f>LOOKUP(2,1/((Purchase!$D$1:$D$500=C1088)*(Purchase!$A$1:$A$500&lt;=A1088)),Purchase!$G$1:$G$500)</f>
        <v/>
      </c>
      <c r="G1088" s="23">
        <f>+D1088*F1088</f>
        <v/>
      </c>
    </row>
    <row r="1089">
      <c r="A1089" s="8" t="n"/>
      <c r="B1089" s="8" t="n"/>
      <c r="C1089" s="21" t="n"/>
      <c r="D1089" s="22" t="n"/>
      <c r="E1089" s="22">
        <f>IFERROR(+VLOOKUP(C1089,Master!B:C,2,0),"")</f>
        <v/>
      </c>
      <c r="F1089" s="23">
        <f>LOOKUP(2,1/((Purchase!$D$1:$D$500=C1089)*(Purchase!$A$1:$A$500&lt;=A1089)),Purchase!$G$1:$G$500)</f>
        <v/>
      </c>
      <c r="G1089" s="23">
        <f>+D1089*F1089</f>
        <v/>
      </c>
    </row>
    <row r="1090">
      <c r="A1090" s="8" t="n"/>
      <c r="B1090" s="8" t="n"/>
      <c r="C1090" s="21" t="n"/>
      <c r="D1090" s="22" t="n"/>
      <c r="E1090" s="22">
        <f>IFERROR(+VLOOKUP(C1090,Master!B:C,2,0),"")</f>
        <v/>
      </c>
      <c r="F1090" s="23">
        <f>LOOKUP(2,1/((Purchase!$D$1:$D$500=C1090)*(Purchase!$A$1:$A$500&lt;=A1090)),Purchase!$G$1:$G$500)</f>
        <v/>
      </c>
      <c r="G1090" s="23">
        <f>+D1090*F1090</f>
        <v/>
      </c>
    </row>
    <row r="1091">
      <c r="A1091" s="8" t="n"/>
      <c r="B1091" s="8" t="n"/>
      <c r="C1091" s="21" t="n"/>
      <c r="D1091" s="22" t="n"/>
      <c r="E1091" s="22">
        <f>IFERROR(+VLOOKUP(C1091,Master!B:C,2,0),"")</f>
        <v/>
      </c>
      <c r="F1091" s="23">
        <f>LOOKUP(2,1/((Purchase!$D$1:$D$500=C1091)*(Purchase!$A$1:$A$500&lt;=A1091)),Purchase!$G$1:$G$500)</f>
        <v/>
      </c>
      <c r="G1091" s="23">
        <f>+D1091*F1091</f>
        <v/>
      </c>
    </row>
    <row r="1092">
      <c r="A1092" s="8" t="n"/>
      <c r="B1092" s="8" t="n"/>
      <c r="C1092" s="21" t="n"/>
      <c r="D1092" s="22" t="n"/>
      <c r="E1092" s="22">
        <f>IFERROR(+VLOOKUP(C1092,Master!B:C,2,0),"")</f>
        <v/>
      </c>
      <c r="F1092" s="23">
        <f>LOOKUP(2,1/((Purchase!$D$1:$D$500=C1092)*(Purchase!$A$1:$A$500&lt;=A1092)),Purchase!$G$1:$G$500)</f>
        <v/>
      </c>
      <c r="G1092" s="23">
        <f>+D1092*F1092</f>
        <v/>
      </c>
    </row>
    <row r="1093">
      <c r="A1093" s="8" t="n"/>
      <c r="B1093" s="8" t="n"/>
      <c r="C1093" s="21" t="n"/>
      <c r="D1093" s="22" t="n"/>
      <c r="E1093" s="22">
        <f>IFERROR(+VLOOKUP(C1093,Master!B:C,2,0),"")</f>
        <v/>
      </c>
      <c r="F1093" s="23">
        <f>LOOKUP(2,1/((Purchase!$D$1:$D$500=C1093)*(Purchase!$A$1:$A$500&lt;=A1093)),Purchase!$G$1:$G$500)</f>
        <v/>
      </c>
      <c r="G1093" s="23">
        <f>+D1093*F1093</f>
        <v/>
      </c>
    </row>
    <row r="1094">
      <c r="A1094" s="8" t="n"/>
      <c r="B1094" s="8" t="n"/>
      <c r="C1094" s="21" t="n"/>
      <c r="D1094" s="22" t="n"/>
      <c r="E1094" s="22">
        <f>IFERROR(+VLOOKUP(C1094,Master!B:C,2,0),"")</f>
        <v/>
      </c>
      <c r="F1094" s="23">
        <f>LOOKUP(2,1/((Purchase!$D$1:$D$500=C1094)*(Purchase!$A$1:$A$500&lt;=A1094)),Purchase!$G$1:$G$500)</f>
        <v/>
      </c>
      <c r="G1094" s="23">
        <f>+D1094*F1094</f>
        <v/>
      </c>
    </row>
    <row r="1095">
      <c r="A1095" s="8" t="n"/>
      <c r="B1095" s="8" t="n"/>
      <c r="C1095" s="21" t="n"/>
      <c r="D1095" s="22" t="n"/>
      <c r="E1095" s="22">
        <f>IFERROR(+VLOOKUP(C1095,Master!B:C,2,0),"")</f>
        <v/>
      </c>
      <c r="F1095" s="23">
        <f>LOOKUP(2,1/((Purchase!$D$1:$D$500=C1095)*(Purchase!$A$1:$A$500&lt;=A1095)),Purchase!$G$1:$G$500)</f>
        <v/>
      </c>
      <c r="G1095" s="23">
        <f>+D1095*F1095</f>
        <v/>
      </c>
    </row>
    <row r="1096">
      <c r="A1096" s="8" t="n"/>
      <c r="B1096" s="8" t="n"/>
      <c r="C1096" s="21" t="n"/>
      <c r="D1096" s="22" t="n"/>
      <c r="E1096" s="22">
        <f>IFERROR(+VLOOKUP(C1096,Master!B:C,2,0),"")</f>
        <v/>
      </c>
      <c r="F1096" s="23">
        <f>LOOKUP(2,1/((Purchase!$D$1:$D$500=C1096)*(Purchase!$A$1:$A$500&lt;=A1096)),Purchase!$G$1:$G$500)</f>
        <v/>
      </c>
      <c r="G1096" s="23">
        <f>+D1096*F1096</f>
        <v/>
      </c>
    </row>
    <row r="1097">
      <c r="A1097" s="8" t="n"/>
      <c r="B1097" s="8" t="n"/>
      <c r="C1097" s="21" t="n"/>
      <c r="D1097" s="22" t="n"/>
      <c r="E1097" s="22">
        <f>IFERROR(+VLOOKUP(C1097,Master!B:C,2,0),"")</f>
        <v/>
      </c>
      <c r="F1097" s="23">
        <f>LOOKUP(2,1/((Purchase!$D$1:$D$500=C1097)*(Purchase!$A$1:$A$500&lt;=A1097)),Purchase!$G$1:$G$500)</f>
        <v/>
      </c>
      <c r="G1097" s="23">
        <f>+D1097*F1097</f>
        <v/>
      </c>
    </row>
    <row r="1098">
      <c r="A1098" s="8" t="n"/>
      <c r="B1098" s="8" t="n"/>
      <c r="C1098" s="21" t="n"/>
      <c r="D1098" s="22" t="n"/>
      <c r="E1098" s="22">
        <f>IFERROR(+VLOOKUP(C1098,Master!B:C,2,0),"")</f>
        <v/>
      </c>
      <c r="F1098" s="23">
        <f>LOOKUP(2,1/((Purchase!$D$1:$D$500=C1098)*(Purchase!$A$1:$A$500&lt;=A1098)),Purchase!$G$1:$G$500)</f>
        <v/>
      </c>
      <c r="G1098" s="23">
        <f>+D1098*F1098</f>
        <v/>
      </c>
    </row>
    <row r="1099">
      <c r="A1099" s="8" t="n"/>
      <c r="B1099" s="8" t="n"/>
      <c r="C1099" s="21" t="n"/>
      <c r="D1099" s="22" t="n"/>
      <c r="E1099" s="22">
        <f>IFERROR(+VLOOKUP(C1099,Master!B:C,2,0),"")</f>
        <v/>
      </c>
      <c r="F1099" s="23">
        <f>LOOKUP(2,1/((Purchase!$D$1:$D$500=C1099)*(Purchase!$A$1:$A$500&lt;=A1099)),Purchase!$G$1:$G$500)</f>
        <v/>
      </c>
      <c r="G1099" s="23">
        <f>+D1099*F1099</f>
        <v/>
      </c>
    </row>
    <row r="1100">
      <c r="A1100" s="8" t="n"/>
      <c r="B1100" s="8" t="n"/>
      <c r="C1100" s="21" t="n"/>
      <c r="D1100" s="22" t="n"/>
      <c r="E1100" s="22">
        <f>IFERROR(+VLOOKUP(C1100,Master!B:C,2,0),"")</f>
        <v/>
      </c>
      <c r="F1100" s="23">
        <f>LOOKUP(2,1/((Purchase!$D$1:$D$500=C1100)*(Purchase!$A$1:$A$500&lt;=A1100)),Purchase!$G$1:$G$500)</f>
        <v/>
      </c>
      <c r="G1100" s="23">
        <f>+D1100*F1100</f>
        <v/>
      </c>
    </row>
    <row r="1101">
      <c r="A1101" s="8" t="n"/>
      <c r="B1101" s="8" t="n"/>
      <c r="C1101" s="21" t="n"/>
      <c r="D1101" s="22" t="n"/>
      <c r="E1101" s="22">
        <f>IFERROR(+VLOOKUP(C1101,Master!B:C,2,0),"")</f>
        <v/>
      </c>
      <c r="F1101" s="23">
        <f>LOOKUP(2,1/((Purchase!$D$1:$D$500=C1101)*(Purchase!$A$1:$A$500&lt;=A1101)),Purchase!$G$1:$G$500)</f>
        <v/>
      </c>
      <c r="G1101" s="23">
        <f>+D1101*F1101</f>
        <v/>
      </c>
    </row>
    <row r="1102">
      <c r="A1102" s="8" t="n"/>
      <c r="B1102" s="8" t="n"/>
      <c r="C1102" s="21" t="n"/>
      <c r="D1102" s="22" t="n"/>
      <c r="E1102" s="22">
        <f>IFERROR(+VLOOKUP(C1102,Master!B:C,2,0),"")</f>
        <v/>
      </c>
      <c r="F1102" s="23">
        <f>LOOKUP(2,1/((Purchase!$D$1:$D$500=C1102)*(Purchase!$A$1:$A$500&lt;=A1102)),Purchase!$G$1:$G$500)</f>
        <v/>
      </c>
      <c r="G1102" s="23">
        <f>+D1102*F1102</f>
        <v/>
      </c>
    </row>
    <row r="1103">
      <c r="A1103" s="8" t="n"/>
      <c r="B1103" s="8" t="n"/>
      <c r="C1103" s="21" t="n"/>
      <c r="D1103" s="22" t="n"/>
      <c r="E1103" s="22">
        <f>IFERROR(+VLOOKUP(C1103,Master!B:C,2,0),"")</f>
        <v/>
      </c>
      <c r="F1103" s="23">
        <f>LOOKUP(2,1/((Purchase!$D$1:$D$500=C1103)*(Purchase!$A$1:$A$500&lt;=A1103)),Purchase!$G$1:$G$500)</f>
        <v/>
      </c>
      <c r="G1103" s="23">
        <f>+D1103*F1103</f>
        <v/>
      </c>
    </row>
    <row r="1104">
      <c r="A1104" s="8" t="n"/>
      <c r="B1104" s="8" t="n"/>
      <c r="C1104" s="21" t="n"/>
      <c r="D1104" s="22" t="n"/>
      <c r="E1104" s="22">
        <f>IFERROR(+VLOOKUP(C1104,Master!B:C,2,0),"")</f>
        <v/>
      </c>
      <c r="F1104" s="23">
        <f>LOOKUP(2,1/((Purchase!$D$1:$D$500=C1104)*(Purchase!$A$1:$A$500&lt;=A1104)),Purchase!$G$1:$G$500)</f>
        <v/>
      </c>
      <c r="G1104" s="23">
        <f>+D1104*F1104</f>
        <v/>
      </c>
    </row>
    <row r="1105">
      <c r="A1105" s="8" t="n"/>
      <c r="B1105" s="8" t="n"/>
      <c r="C1105" s="21" t="n"/>
      <c r="D1105" s="22" t="n"/>
      <c r="E1105" s="22">
        <f>IFERROR(+VLOOKUP(C1105,Master!B:C,2,0),"")</f>
        <v/>
      </c>
      <c r="F1105" s="23">
        <f>LOOKUP(2,1/((Purchase!$D$1:$D$500=C1105)*(Purchase!$A$1:$A$500&lt;=A1105)),Purchase!$G$1:$G$500)</f>
        <v/>
      </c>
      <c r="G1105" s="23">
        <f>+D1105*F1105</f>
        <v/>
      </c>
    </row>
    <row r="1106">
      <c r="A1106" s="8" t="n"/>
      <c r="B1106" s="8" t="n"/>
      <c r="C1106" s="21" t="n"/>
      <c r="D1106" s="22" t="n"/>
      <c r="E1106" s="22">
        <f>IFERROR(+VLOOKUP(C1106,Master!B:C,2,0),"")</f>
        <v/>
      </c>
      <c r="F1106" s="23">
        <f>LOOKUP(2,1/((Purchase!$D$1:$D$500=C1106)*(Purchase!$A$1:$A$500&lt;=A1106)),Purchase!$G$1:$G$500)</f>
        <v/>
      </c>
      <c r="G1106" s="23">
        <f>+D1106*F1106</f>
        <v/>
      </c>
    </row>
    <row r="1107">
      <c r="A1107" s="8" t="n"/>
      <c r="B1107" s="8" t="n"/>
      <c r="C1107" s="21" t="n"/>
      <c r="D1107" s="22" t="n"/>
      <c r="E1107" s="22">
        <f>IFERROR(+VLOOKUP(C1107,Master!B:C,2,0),"")</f>
        <v/>
      </c>
      <c r="F1107" s="23">
        <f>LOOKUP(2,1/((Purchase!$D$1:$D$500=C1107)*(Purchase!$A$1:$A$500&lt;=A1107)),Purchase!$G$1:$G$500)</f>
        <v/>
      </c>
      <c r="G1107" s="23">
        <f>+D1107*F1107</f>
        <v/>
      </c>
    </row>
    <row r="1108">
      <c r="A1108" s="8" t="n"/>
      <c r="B1108" s="8" t="n"/>
      <c r="C1108" s="21" t="n"/>
      <c r="D1108" s="22" t="n"/>
      <c r="E1108" s="22">
        <f>IFERROR(+VLOOKUP(C1108,Master!B:C,2,0),"")</f>
        <v/>
      </c>
      <c r="F1108" s="23">
        <f>LOOKUP(2,1/((Purchase!$D$1:$D$500=C1108)*(Purchase!$A$1:$A$500&lt;=A1108)),Purchase!$G$1:$G$500)</f>
        <v/>
      </c>
      <c r="G1108" s="23">
        <f>+D1108*F1108</f>
        <v/>
      </c>
    </row>
    <row r="1109">
      <c r="A1109" s="8" t="n"/>
      <c r="B1109" s="8" t="n"/>
      <c r="C1109" s="21" t="n"/>
      <c r="D1109" s="22" t="n"/>
      <c r="E1109" s="22">
        <f>IFERROR(+VLOOKUP(C1109,Master!B:C,2,0),"")</f>
        <v/>
      </c>
      <c r="F1109" s="23">
        <f>LOOKUP(2,1/((Purchase!$D$1:$D$500=C1109)*(Purchase!$A$1:$A$500&lt;=A1109)),Purchase!$G$1:$G$500)</f>
        <v/>
      </c>
      <c r="G1109" s="23">
        <f>+D1109*F1109</f>
        <v/>
      </c>
    </row>
    <row r="1110">
      <c r="A1110" s="8" t="n"/>
      <c r="B1110" s="8" t="n"/>
      <c r="C1110" s="21" t="n"/>
      <c r="D1110" s="22" t="n"/>
      <c r="E1110" s="22">
        <f>IFERROR(+VLOOKUP(C1110,Master!B:C,2,0),"")</f>
        <v/>
      </c>
      <c r="F1110" s="23">
        <f>LOOKUP(2,1/((Purchase!$D$1:$D$500=C1110)*(Purchase!$A$1:$A$500&lt;=A1110)),Purchase!$G$1:$G$500)</f>
        <v/>
      </c>
      <c r="G1110" s="23">
        <f>+D1110*F1110</f>
        <v/>
      </c>
    </row>
    <row r="1111">
      <c r="A1111" s="8" t="n"/>
      <c r="B1111" s="8" t="n"/>
      <c r="C1111" s="21" t="n"/>
      <c r="D1111" s="22" t="n"/>
      <c r="E1111" s="22">
        <f>IFERROR(+VLOOKUP(C1111,Master!B:C,2,0),"")</f>
        <v/>
      </c>
      <c r="F1111" s="23">
        <f>LOOKUP(2,1/((Purchase!$D$1:$D$500=C1111)*(Purchase!$A$1:$A$500&lt;=A1111)),Purchase!$G$1:$G$500)</f>
        <v/>
      </c>
      <c r="G1111" s="23">
        <f>+D1111*F1111</f>
        <v/>
      </c>
    </row>
    <row r="1112">
      <c r="A1112" s="8" t="n"/>
      <c r="B1112" s="8" t="n"/>
      <c r="C1112" s="21" t="n"/>
      <c r="D1112" s="22" t="n"/>
      <c r="E1112" s="22">
        <f>IFERROR(+VLOOKUP(C1112,Master!B:C,2,0),"")</f>
        <v/>
      </c>
      <c r="F1112" s="23">
        <f>LOOKUP(2,1/((Purchase!$D$1:$D$500=C1112)*(Purchase!$A$1:$A$500&lt;=A1112)),Purchase!$G$1:$G$500)</f>
        <v/>
      </c>
      <c r="G1112" s="23">
        <f>+D1112*F1112</f>
        <v/>
      </c>
    </row>
    <row r="1113">
      <c r="A1113" s="8" t="n"/>
      <c r="B1113" s="8" t="n"/>
      <c r="C1113" s="21" t="n"/>
      <c r="D1113" s="22" t="n"/>
      <c r="E1113" s="22">
        <f>IFERROR(+VLOOKUP(C1113,Master!B:C,2,0),"")</f>
        <v/>
      </c>
      <c r="F1113" s="23">
        <f>LOOKUP(2,1/((Purchase!$D$1:$D$500=C1113)*(Purchase!$A$1:$A$500&lt;=A1113)),Purchase!$G$1:$G$500)</f>
        <v/>
      </c>
      <c r="G1113" s="23">
        <f>+D1113*F1113</f>
        <v/>
      </c>
    </row>
    <row r="1114">
      <c r="A1114" s="8" t="n"/>
      <c r="B1114" s="8" t="n"/>
      <c r="C1114" s="21" t="n"/>
      <c r="D1114" s="22" t="n"/>
      <c r="E1114" s="22">
        <f>IFERROR(+VLOOKUP(C1114,Master!B:C,2,0),"")</f>
        <v/>
      </c>
      <c r="F1114" s="23">
        <f>LOOKUP(2,1/((Purchase!$D$1:$D$500=C1114)*(Purchase!$A$1:$A$500&lt;=A1114)),Purchase!$G$1:$G$500)</f>
        <v/>
      </c>
      <c r="G1114" s="23">
        <f>+D1114*F1114</f>
        <v/>
      </c>
    </row>
    <row r="1115">
      <c r="A1115" s="8" t="n"/>
      <c r="B1115" s="8" t="n"/>
      <c r="C1115" s="21" t="n"/>
      <c r="D1115" s="22" t="n"/>
      <c r="E1115" s="22">
        <f>IFERROR(+VLOOKUP(C1115,Master!B:C,2,0),"")</f>
        <v/>
      </c>
      <c r="F1115" s="23">
        <f>LOOKUP(2,1/((Purchase!$D$1:$D$500=C1115)*(Purchase!$A$1:$A$500&lt;=A1115)),Purchase!$G$1:$G$500)</f>
        <v/>
      </c>
      <c r="G1115" s="23">
        <f>+D1115*F1115</f>
        <v/>
      </c>
    </row>
    <row r="1116">
      <c r="A1116" s="8" t="n"/>
      <c r="B1116" s="8" t="n"/>
      <c r="C1116" s="21" t="n"/>
      <c r="D1116" s="22" t="n"/>
      <c r="E1116" s="22">
        <f>IFERROR(+VLOOKUP(C1116,Master!B:C,2,0),"")</f>
        <v/>
      </c>
      <c r="F1116" s="23">
        <f>LOOKUP(2,1/((Purchase!$D$1:$D$500=C1116)*(Purchase!$A$1:$A$500&lt;=A1116)),Purchase!$G$1:$G$500)</f>
        <v/>
      </c>
      <c r="G1116" s="23">
        <f>+D1116*F1116</f>
        <v/>
      </c>
    </row>
    <row r="1117">
      <c r="A1117" s="8" t="n"/>
      <c r="B1117" s="8" t="n"/>
      <c r="C1117" s="21" t="n"/>
      <c r="D1117" s="22" t="n"/>
      <c r="E1117" s="22">
        <f>IFERROR(+VLOOKUP(C1117,Master!B:C,2,0),"")</f>
        <v/>
      </c>
      <c r="F1117" s="23">
        <f>LOOKUP(2,1/((Purchase!$D$1:$D$500=C1117)*(Purchase!$A$1:$A$500&lt;=A1117)),Purchase!$G$1:$G$500)</f>
        <v/>
      </c>
      <c r="G1117" s="23">
        <f>+D1117*F1117</f>
        <v/>
      </c>
    </row>
    <row r="1118">
      <c r="A1118" s="8" t="n"/>
      <c r="B1118" s="8" t="n"/>
      <c r="C1118" s="21" t="n"/>
      <c r="D1118" s="22" t="n"/>
      <c r="E1118" s="22">
        <f>IFERROR(+VLOOKUP(C1118,Master!B:C,2,0),"")</f>
        <v/>
      </c>
      <c r="F1118" s="23">
        <f>LOOKUP(2,1/((Purchase!$D$1:$D$500=C1118)*(Purchase!$A$1:$A$500&lt;=A1118)),Purchase!$G$1:$G$500)</f>
        <v/>
      </c>
      <c r="G1118" s="23">
        <f>+D1118*F1118</f>
        <v/>
      </c>
    </row>
    <row r="1119">
      <c r="A1119" s="8" t="n"/>
      <c r="B1119" s="8" t="n"/>
      <c r="C1119" s="21" t="n"/>
      <c r="D1119" s="22" t="n"/>
      <c r="E1119" s="22">
        <f>IFERROR(+VLOOKUP(C1119,Master!B:C,2,0),"")</f>
        <v/>
      </c>
      <c r="F1119" s="23">
        <f>LOOKUP(2,1/((Purchase!$D$1:$D$500=C1119)*(Purchase!$A$1:$A$500&lt;=A1119)),Purchase!$G$1:$G$500)</f>
        <v/>
      </c>
      <c r="G1119" s="23">
        <f>+D1119*F1119</f>
        <v/>
      </c>
    </row>
    <row r="1120">
      <c r="A1120" s="8" t="n"/>
      <c r="B1120" s="8" t="n"/>
      <c r="C1120" s="21" t="n"/>
      <c r="D1120" s="22" t="n"/>
      <c r="E1120" s="22">
        <f>IFERROR(+VLOOKUP(C1120,Master!B:C,2,0),"")</f>
        <v/>
      </c>
      <c r="F1120" s="23">
        <f>LOOKUP(2,1/((Purchase!$D$1:$D$500=C1120)*(Purchase!$A$1:$A$500&lt;=A1120)),Purchase!$G$1:$G$500)</f>
        <v/>
      </c>
      <c r="G1120" s="23">
        <f>+D1120*F1120</f>
        <v/>
      </c>
    </row>
    <row r="1121">
      <c r="A1121" s="8" t="n"/>
      <c r="B1121" s="8" t="n"/>
      <c r="C1121" s="21" t="n"/>
      <c r="D1121" s="22" t="n"/>
      <c r="E1121" s="22">
        <f>IFERROR(+VLOOKUP(C1121,Master!B:C,2,0),"")</f>
        <v/>
      </c>
      <c r="F1121" s="23">
        <f>LOOKUP(2,1/((Purchase!$D$1:$D$500=C1121)*(Purchase!$A$1:$A$500&lt;=A1121)),Purchase!$G$1:$G$500)</f>
        <v/>
      </c>
      <c r="G1121" s="23">
        <f>+D1121*F1121</f>
        <v/>
      </c>
    </row>
    <row r="1122">
      <c r="A1122" s="8" t="n"/>
      <c r="B1122" s="8" t="n"/>
      <c r="C1122" s="21" t="n"/>
      <c r="D1122" s="22" t="n"/>
      <c r="E1122" s="22">
        <f>IFERROR(+VLOOKUP(C1122,Master!B:C,2,0),"")</f>
        <v/>
      </c>
      <c r="F1122" s="23">
        <f>LOOKUP(2,1/((Purchase!$D$1:$D$500=C1122)*(Purchase!$A$1:$A$500&lt;=A1122)),Purchase!$G$1:$G$500)</f>
        <v/>
      </c>
      <c r="G1122" s="23">
        <f>+D1122*F1122</f>
        <v/>
      </c>
    </row>
    <row r="1123">
      <c r="A1123" s="8" t="n"/>
      <c r="B1123" s="8" t="n"/>
      <c r="C1123" s="21" t="n"/>
      <c r="D1123" s="22" t="n"/>
      <c r="E1123" s="22">
        <f>IFERROR(+VLOOKUP(C1123,Master!B:C,2,0),"")</f>
        <v/>
      </c>
      <c r="F1123" s="23">
        <f>LOOKUP(2,1/((Purchase!$D$1:$D$500=C1123)*(Purchase!$A$1:$A$500&lt;=A1123)),Purchase!$G$1:$G$500)</f>
        <v/>
      </c>
      <c r="G1123" s="23">
        <f>+D1123*F1123</f>
        <v/>
      </c>
    </row>
    <row r="1124">
      <c r="A1124" s="8" t="n"/>
      <c r="B1124" s="8" t="n"/>
      <c r="C1124" s="21" t="n"/>
      <c r="D1124" s="22" t="n"/>
      <c r="E1124" s="22">
        <f>IFERROR(+VLOOKUP(C1124,Master!B:C,2,0),"")</f>
        <v/>
      </c>
      <c r="F1124" s="23">
        <f>LOOKUP(2,1/((Purchase!$D$1:$D$500=C1124)*(Purchase!$A$1:$A$500&lt;=A1124)),Purchase!$G$1:$G$500)</f>
        <v/>
      </c>
      <c r="G1124" s="23">
        <f>+D1124*F1124</f>
        <v/>
      </c>
    </row>
    <row r="1125">
      <c r="A1125" s="8" t="n"/>
      <c r="B1125" s="8" t="n"/>
      <c r="C1125" s="21" t="n"/>
      <c r="D1125" s="22" t="n"/>
      <c r="E1125" s="22">
        <f>IFERROR(+VLOOKUP(C1125,Master!B:C,2,0),"")</f>
        <v/>
      </c>
      <c r="F1125" s="23">
        <f>LOOKUP(2,1/((Purchase!$D$1:$D$500=C1125)*(Purchase!$A$1:$A$500&lt;=A1125)),Purchase!$G$1:$G$500)</f>
        <v/>
      </c>
      <c r="G1125" s="23">
        <f>+D1125*F1125</f>
        <v/>
      </c>
    </row>
    <row r="1126">
      <c r="A1126" s="8" t="n"/>
      <c r="B1126" s="8" t="n"/>
      <c r="C1126" s="21" t="n"/>
      <c r="D1126" s="22" t="n"/>
      <c r="E1126" s="22">
        <f>IFERROR(+VLOOKUP(C1126,Master!B:C,2,0),"")</f>
        <v/>
      </c>
      <c r="F1126" s="23">
        <f>LOOKUP(2,1/((Purchase!$D$1:$D$500=C1126)*(Purchase!$A$1:$A$500&lt;=A1126)),Purchase!$G$1:$G$500)</f>
        <v/>
      </c>
      <c r="G1126" s="23">
        <f>+D1126*F1126</f>
        <v/>
      </c>
    </row>
    <row r="1127">
      <c r="A1127" s="8" t="n"/>
      <c r="B1127" s="8" t="n"/>
      <c r="C1127" s="21" t="n"/>
      <c r="D1127" s="22" t="n"/>
      <c r="E1127" s="22">
        <f>IFERROR(+VLOOKUP(C1127,Master!B:C,2,0),"")</f>
        <v/>
      </c>
      <c r="F1127" s="23">
        <f>LOOKUP(2,1/((Purchase!$D$1:$D$500=C1127)*(Purchase!$A$1:$A$500&lt;=A1127)),Purchase!$G$1:$G$500)</f>
        <v/>
      </c>
      <c r="G1127" s="23">
        <f>+D1127*F1127</f>
        <v/>
      </c>
    </row>
    <row r="1128">
      <c r="A1128" s="8" t="n"/>
      <c r="B1128" s="8" t="n"/>
      <c r="C1128" s="21" t="n"/>
      <c r="D1128" s="22" t="n"/>
      <c r="E1128" s="22">
        <f>IFERROR(+VLOOKUP(C1128,Master!B:C,2,0),"")</f>
        <v/>
      </c>
      <c r="F1128" s="23">
        <f>LOOKUP(2,1/((Purchase!$D$1:$D$500=C1128)*(Purchase!$A$1:$A$500&lt;=A1128)),Purchase!$G$1:$G$500)</f>
        <v/>
      </c>
      <c r="G1128" s="23">
        <f>+D1128*F1128</f>
        <v/>
      </c>
    </row>
    <row r="1129">
      <c r="A1129" s="8" t="n"/>
      <c r="B1129" s="8" t="n"/>
      <c r="C1129" s="21" t="n"/>
      <c r="D1129" s="22" t="n"/>
      <c r="E1129" s="22">
        <f>IFERROR(+VLOOKUP(C1129,Master!B:C,2,0),"")</f>
        <v/>
      </c>
      <c r="F1129" s="23">
        <f>LOOKUP(2,1/((Purchase!$D$1:$D$500=C1129)*(Purchase!$A$1:$A$500&lt;=A1129)),Purchase!$G$1:$G$500)</f>
        <v/>
      </c>
      <c r="G1129" s="23">
        <f>+D1129*F1129</f>
        <v/>
      </c>
    </row>
    <row r="1130">
      <c r="A1130" s="8" t="n"/>
      <c r="B1130" s="8" t="n"/>
      <c r="C1130" s="21" t="n"/>
      <c r="D1130" s="22" t="n"/>
      <c r="E1130" s="22">
        <f>IFERROR(+VLOOKUP(C1130,Master!B:C,2,0),"")</f>
        <v/>
      </c>
      <c r="F1130" s="23">
        <f>LOOKUP(2,1/((Purchase!$D$1:$D$500=C1130)*(Purchase!$A$1:$A$500&lt;=A1130)),Purchase!$G$1:$G$500)</f>
        <v/>
      </c>
      <c r="G1130" s="23">
        <f>+D1130*F1130</f>
        <v/>
      </c>
    </row>
    <row r="1131">
      <c r="A1131" s="8" t="n"/>
      <c r="B1131" s="8" t="n"/>
      <c r="C1131" s="21" t="n"/>
      <c r="D1131" s="22" t="n"/>
      <c r="E1131" s="22">
        <f>IFERROR(+VLOOKUP(C1131,Master!B:C,2,0),"")</f>
        <v/>
      </c>
      <c r="F1131" s="23">
        <f>LOOKUP(2,1/((Purchase!$D$1:$D$500=C1131)*(Purchase!$A$1:$A$500&lt;=A1131)),Purchase!$G$1:$G$500)</f>
        <v/>
      </c>
      <c r="G1131" s="23">
        <f>+D1131*F1131</f>
        <v/>
      </c>
    </row>
    <row r="1132">
      <c r="A1132" s="8" t="n"/>
      <c r="B1132" s="8" t="n"/>
      <c r="C1132" s="21" t="n"/>
      <c r="D1132" s="22" t="n"/>
      <c r="E1132" s="22">
        <f>IFERROR(+VLOOKUP(C1132,Master!B:C,2,0),"")</f>
        <v/>
      </c>
      <c r="F1132" s="23">
        <f>LOOKUP(2,1/((Purchase!$D$1:$D$500=C1132)*(Purchase!$A$1:$A$500&lt;=A1132)),Purchase!$G$1:$G$500)</f>
        <v/>
      </c>
      <c r="G1132" s="23">
        <f>+D1132*F1132</f>
        <v/>
      </c>
    </row>
    <row r="1133">
      <c r="A1133" s="8" t="n"/>
      <c r="B1133" s="8" t="n"/>
      <c r="C1133" s="21" t="n"/>
      <c r="D1133" s="22" t="n"/>
      <c r="E1133" s="22">
        <f>IFERROR(+VLOOKUP(C1133,Master!B:C,2,0),"")</f>
        <v/>
      </c>
      <c r="F1133" s="23">
        <f>LOOKUP(2,1/((Purchase!$D$1:$D$500=C1133)*(Purchase!$A$1:$A$500&lt;=A1133)),Purchase!$G$1:$G$500)</f>
        <v/>
      </c>
      <c r="G1133" s="23">
        <f>+D1133*F1133</f>
        <v/>
      </c>
    </row>
    <row r="1134">
      <c r="A1134" s="8" t="n"/>
      <c r="B1134" s="8" t="n"/>
      <c r="C1134" s="21" t="n"/>
      <c r="D1134" s="22" t="n"/>
      <c r="E1134" s="22">
        <f>IFERROR(+VLOOKUP(C1134,Master!B:C,2,0),"")</f>
        <v/>
      </c>
      <c r="F1134" s="23">
        <f>LOOKUP(2,1/((Purchase!$D$1:$D$500=C1134)*(Purchase!$A$1:$A$500&lt;=A1134)),Purchase!$G$1:$G$500)</f>
        <v/>
      </c>
      <c r="G1134" s="23">
        <f>+D1134*F1134</f>
        <v/>
      </c>
    </row>
    <row r="1135">
      <c r="A1135" s="8" t="n"/>
      <c r="B1135" s="8" t="n"/>
      <c r="C1135" s="21" t="n"/>
      <c r="D1135" s="22" t="n"/>
      <c r="E1135" s="22">
        <f>IFERROR(+VLOOKUP(C1135,Master!B:C,2,0),"")</f>
        <v/>
      </c>
      <c r="F1135" s="23">
        <f>LOOKUP(2,1/((Purchase!$D$1:$D$500=C1135)*(Purchase!$A$1:$A$500&lt;=A1135)),Purchase!$G$1:$G$500)</f>
        <v/>
      </c>
      <c r="G1135" s="23">
        <f>+D1135*F1135</f>
        <v/>
      </c>
    </row>
    <row r="1136">
      <c r="A1136" s="8" t="n"/>
      <c r="B1136" s="8" t="n"/>
      <c r="C1136" s="21" t="n"/>
      <c r="D1136" s="22" t="n"/>
      <c r="E1136" s="22">
        <f>IFERROR(+VLOOKUP(C1136,Master!B:C,2,0),"")</f>
        <v/>
      </c>
      <c r="F1136" s="23">
        <f>LOOKUP(2,1/((Purchase!$D$1:$D$500=C1136)*(Purchase!$A$1:$A$500&lt;=A1136)),Purchase!$G$1:$G$500)</f>
        <v/>
      </c>
      <c r="G1136" s="23">
        <f>+D1136*F1136</f>
        <v/>
      </c>
    </row>
    <row r="1137">
      <c r="A1137" s="8" t="n"/>
      <c r="B1137" s="8" t="n"/>
      <c r="C1137" s="21" t="n"/>
      <c r="D1137" s="22" t="n"/>
      <c r="E1137" s="22">
        <f>IFERROR(+VLOOKUP(C1137,Master!B:C,2,0),"")</f>
        <v/>
      </c>
      <c r="F1137" s="23">
        <f>LOOKUP(2,1/((Purchase!$D$1:$D$500=C1137)*(Purchase!$A$1:$A$500&lt;=A1137)),Purchase!$G$1:$G$500)</f>
        <v/>
      </c>
      <c r="G1137" s="23">
        <f>+D1137*F1137</f>
        <v/>
      </c>
    </row>
    <row r="1138">
      <c r="A1138" s="8" t="n"/>
      <c r="B1138" s="8" t="n"/>
      <c r="C1138" s="21" t="n"/>
      <c r="D1138" s="22" t="n"/>
      <c r="E1138" s="22">
        <f>IFERROR(+VLOOKUP(C1138,Master!B:C,2,0),"")</f>
        <v/>
      </c>
      <c r="F1138" s="23">
        <f>LOOKUP(2,1/((Purchase!$D$1:$D$500=C1138)*(Purchase!$A$1:$A$500&lt;=A1138)),Purchase!$G$1:$G$500)</f>
        <v/>
      </c>
      <c r="G1138" s="23">
        <f>+D1138*F1138</f>
        <v/>
      </c>
    </row>
    <row r="1139">
      <c r="A1139" s="8" t="n"/>
      <c r="B1139" s="8" t="n"/>
      <c r="C1139" s="21" t="n"/>
      <c r="D1139" s="22" t="n"/>
      <c r="E1139" s="22">
        <f>IFERROR(+VLOOKUP(C1139,Master!B:C,2,0),"")</f>
        <v/>
      </c>
      <c r="F1139" s="23">
        <f>LOOKUP(2,1/((Purchase!$D$1:$D$500=C1139)*(Purchase!$A$1:$A$500&lt;=A1139)),Purchase!$G$1:$G$500)</f>
        <v/>
      </c>
      <c r="G1139" s="23">
        <f>+D1139*F1139</f>
        <v/>
      </c>
    </row>
    <row r="1140">
      <c r="A1140" s="8" t="n"/>
      <c r="B1140" s="8" t="n"/>
      <c r="C1140" s="21" t="n"/>
      <c r="D1140" s="22" t="n"/>
      <c r="E1140" s="22">
        <f>IFERROR(+VLOOKUP(C1140,Master!B:C,2,0),"")</f>
        <v/>
      </c>
      <c r="F1140" s="23">
        <f>LOOKUP(2,1/((Purchase!$D$1:$D$500=C1140)*(Purchase!$A$1:$A$500&lt;=A1140)),Purchase!$G$1:$G$500)</f>
        <v/>
      </c>
      <c r="G1140" s="23">
        <f>+D1140*F1140</f>
        <v/>
      </c>
    </row>
    <row r="1141">
      <c r="A1141" s="8" t="n"/>
      <c r="B1141" s="8" t="n"/>
      <c r="C1141" s="21" t="n"/>
      <c r="D1141" s="22" t="n"/>
      <c r="E1141" s="22">
        <f>IFERROR(+VLOOKUP(C1141,Master!B:C,2,0),"")</f>
        <v/>
      </c>
      <c r="F1141" s="23">
        <f>LOOKUP(2,1/((Purchase!$D$1:$D$500=C1141)*(Purchase!$A$1:$A$500&lt;=A1141)),Purchase!$G$1:$G$500)</f>
        <v/>
      </c>
      <c r="G1141" s="23">
        <f>+D1141*F1141</f>
        <v/>
      </c>
    </row>
    <row r="1142">
      <c r="A1142" s="8" t="n"/>
      <c r="B1142" s="8" t="n"/>
      <c r="C1142" s="21" t="n"/>
      <c r="D1142" s="22" t="n"/>
      <c r="E1142" s="22">
        <f>IFERROR(+VLOOKUP(C1142,Master!B:C,2,0),"")</f>
        <v/>
      </c>
      <c r="F1142" s="23">
        <f>LOOKUP(2,1/((Purchase!$D$1:$D$500=C1142)*(Purchase!$A$1:$A$500&lt;=A1142)),Purchase!$G$1:$G$500)</f>
        <v/>
      </c>
      <c r="G1142" s="23">
        <f>+D1142*F1142</f>
        <v/>
      </c>
    </row>
    <row r="1143">
      <c r="A1143" s="8" t="n"/>
      <c r="B1143" s="8" t="n"/>
      <c r="C1143" s="21" t="n"/>
      <c r="D1143" s="22" t="n"/>
      <c r="E1143" s="22">
        <f>IFERROR(+VLOOKUP(C1143,Master!B:C,2,0),"")</f>
        <v/>
      </c>
      <c r="F1143" s="23">
        <f>LOOKUP(2,1/((Purchase!$D$1:$D$500=C1143)*(Purchase!$A$1:$A$500&lt;=A1143)),Purchase!$G$1:$G$500)</f>
        <v/>
      </c>
      <c r="G1143" s="23">
        <f>+D1143*F1143</f>
        <v/>
      </c>
    </row>
    <row r="1144">
      <c r="A1144" s="8" t="n"/>
      <c r="B1144" s="8" t="n"/>
      <c r="C1144" s="21" t="n"/>
      <c r="D1144" s="22" t="n"/>
      <c r="E1144" s="22">
        <f>IFERROR(+VLOOKUP(C1144,Master!B:C,2,0),"")</f>
        <v/>
      </c>
      <c r="F1144" s="23">
        <f>LOOKUP(2,1/((Purchase!$D$1:$D$500=C1144)*(Purchase!$A$1:$A$500&lt;=A1144)),Purchase!$G$1:$G$500)</f>
        <v/>
      </c>
      <c r="G1144" s="23">
        <f>+D1144*F1144</f>
        <v/>
      </c>
    </row>
    <row r="1145">
      <c r="A1145" s="8" t="n"/>
      <c r="B1145" s="8" t="n"/>
      <c r="C1145" s="21" t="n"/>
      <c r="D1145" s="22" t="n"/>
      <c r="E1145" s="22">
        <f>IFERROR(+VLOOKUP(C1145,Master!B:C,2,0),"")</f>
        <v/>
      </c>
      <c r="F1145" s="23">
        <f>LOOKUP(2,1/((Purchase!$D$1:$D$500=C1145)*(Purchase!$A$1:$A$500&lt;=A1145)),Purchase!$G$1:$G$500)</f>
        <v/>
      </c>
      <c r="G1145" s="23">
        <f>+D1145*F1145</f>
        <v/>
      </c>
    </row>
    <row r="1146">
      <c r="A1146" s="8" t="n"/>
      <c r="B1146" s="8" t="n"/>
      <c r="C1146" s="21" t="n"/>
      <c r="D1146" s="22" t="n"/>
      <c r="E1146" s="22">
        <f>IFERROR(+VLOOKUP(C1146,Master!B:C,2,0),"")</f>
        <v/>
      </c>
      <c r="F1146" s="23">
        <f>LOOKUP(2,1/((Purchase!$D$1:$D$500=C1146)*(Purchase!$A$1:$A$500&lt;=A1146)),Purchase!$G$1:$G$500)</f>
        <v/>
      </c>
      <c r="G1146" s="23">
        <f>+D1146*F1146</f>
        <v/>
      </c>
    </row>
    <row r="1147">
      <c r="A1147" s="8" t="n"/>
      <c r="B1147" s="8" t="n"/>
      <c r="C1147" s="21" t="n"/>
      <c r="D1147" s="22" t="n"/>
      <c r="E1147" s="22">
        <f>IFERROR(+VLOOKUP(C1147,Master!B:C,2,0),"")</f>
        <v/>
      </c>
      <c r="F1147" s="23">
        <f>LOOKUP(2,1/((Purchase!$D$1:$D$500=C1147)*(Purchase!$A$1:$A$500&lt;=A1147)),Purchase!$G$1:$G$500)</f>
        <v/>
      </c>
      <c r="G1147" s="23">
        <f>+D1147*F1147</f>
        <v/>
      </c>
    </row>
    <row r="1148">
      <c r="A1148" s="8" t="n"/>
      <c r="B1148" s="8" t="n"/>
      <c r="C1148" s="21" t="n"/>
      <c r="D1148" s="22" t="n"/>
      <c r="E1148" s="22">
        <f>IFERROR(+VLOOKUP(C1148,Master!B:C,2,0),"")</f>
        <v/>
      </c>
      <c r="F1148" s="23">
        <f>LOOKUP(2,1/((Purchase!$D$1:$D$500=C1148)*(Purchase!$A$1:$A$500&lt;=A1148)),Purchase!$G$1:$G$500)</f>
        <v/>
      </c>
      <c r="G1148" s="23">
        <f>+D1148*F1148</f>
        <v/>
      </c>
    </row>
    <row r="1149">
      <c r="A1149" s="8" t="n"/>
      <c r="B1149" s="8" t="n"/>
      <c r="C1149" s="21" t="n"/>
      <c r="D1149" s="22" t="n"/>
      <c r="E1149" s="22">
        <f>IFERROR(+VLOOKUP(C1149,Master!B:C,2,0),"")</f>
        <v/>
      </c>
      <c r="F1149" s="23">
        <f>LOOKUP(2,1/((Purchase!$D$1:$D$500=C1149)*(Purchase!$A$1:$A$500&lt;=A1149)),Purchase!$G$1:$G$500)</f>
        <v/>
      </c>
      <c r="G1149" s="23">
        <f>+D1149*F1149</f>
        <v/>
      </c>
    </row>
    <row r="1150">
      <c r="A1150" s="8" t="n"/>
      <c r="B1150" s="8" t="n"/>
      <c r="C1150" s="21" t="n"/>
      <c r="D1150" s="22" t="n"/>
      <c r="E1150" s="22">
        <f>IFERROR(+VLOOKUP(C1150,Master!B:C,2,0),"")</f>
        <v/>
      </c>
      <c r="F1150" s="23">
        <f>LOOKUP(2,1/((Purchase!$D$1:$D$500=C1150)*(Purchase!$A$1:$A$500&lt;=A1150)),Purchase!$G$1:$G$500)</f>
        <v/>
      </c>
      <c r="G1150" s="23">
        <f>+D1150*F1150</f>
        <v/>
      </c>
    </row>
    <row r="1151">
      <c r="A1151" s="8" t="n"/>
      <c r="B1151" s="8" t="n"/>
      <c r="C1151" s="21" t="n"/>
      <c r="D1151" s="22" t="n"/>
      <c r="E1151" s="22">
        <f>IFERROR(+VLOOKUP(C1151,Master!B:C,2,0),"")</f>
        <v/>
      </c>
      <c r="F1151" s="23">
        <f>LOOKUP(2,1/((Purchase!$D$1:$D$500=C1151)*(Purchase!$A$1:$A$500&lt;=A1151)),Purchase!$G$1:$G$500)</f>
        <v/>
      </c>
      <c r="G1151" s="23">
        <f>+D1151*F1151</f>
        <v/>
      </c>
    </row>
    <row r="1152">
      <c r="A1152" s="8" t="n"/>
      <c r="B1152" s="8" t="n"/>
      <c r="C1152" s="21" t="n"/>
      <c r="D1152" s="22" t="n"/>
      <c r="E1152" s="22">
        <f>IFERROR(+VLOOKUP(C1152,Master!B:C,2,0),"")</f>
        <v/>
      </c>
      <c r="F1152" s="23">
        <f>LOOKUP(2,1/((Purchase!$D$1:$D$500=C1152)*(Purchase!$A$1:$A$500&lt;=A1152)),Purchase!$G$1:$G$500)</f>
        <v/>
      </c>
      <c r="G1152" s="23">
        <f>+D1152*F1152</f>
        <v/>
      </c>
    </row>
    <row r="1153">
      <c r="A1153" s="8" t="n"/>
      <c r="B1153" s="8" t="n"/>
      <c r="C1153" s="21" t="n"/>
      <c r="D1153" s="22" t="n"/>
      <c r="E1153" s="22">
        <f>IFERROR(+VLOOKUP(C1153,Master!B:C,2,0),"")</f>
        <v/>
      </c>
      <c r="F1153" s="23">
        <f>LOOKUP(2,1/((Purchase!$D$1:$D$500=C1153)*(Purchase!$A$1:$A$500&lt;=A1153)),Purchase!$G$1:$G$500)</f>
        <v/>
      </c>
      <c r="G1153" s="23">
        <f>+D1153*F1153</f>
        <v/>
      </c>
    </row>
    <row r="1154">
      <c r="A1154" s="8" t="n"/>
      <c r="B1154" s="8" t="n"/>
      <c r="C1154" s="21" t="n"/>
      <c r="D1154" s="22" t="n"/>
      <c r="E1154" s="22">
        <f>IFERROR(+VLOOKUP(C1154,Master!B:C,2,0),"")</f>
        <v/>
      </c>
      <c r="F1154" s="23">
        <f>LOOKUP(2,1/((Purchase!$D$1:$D$500=C1154)*(Purchase!$A$1:$A$500&lt;=A1154)),Purchase!$G$1:$G$500)</f>
        <v/>
      </c>
      <c r="G1154" s="23">
        <f>+D1154*F1154</f>
        <v/>
      </c>
    </row>
    <row r="1155">
      <c r="A1155" s="8" t="n"/>
      <c r="B1155" s="8" t="n"/>
      <c r="C1155" s="21" t="n"/>
      <c r="D1155" s="22" t="n"/>
      <c r="E1155" s="22">
        <f>IFERROR(+VLOOKUP(C1155,Master!B:C,2,0),"")</f>
        <v/>
      </c>
      <c r="F1155" s="23">
        <f>LOOKUP(2,1/((Purchase!$D$1:$D$500=C1155)*(Purchase!$A$1:$A$500&lt;=A1155)),Purchase!$G$1:$G$500)</f>
        <v/>
      </c>
      <c r="G1155" s="23">
        <f>+D1155*F1155</f>
        <v/>
      </c>
    </row>
    <row r="1156">
      <c r="A1156" s="8" t="n"/>
      <c r="B1156" s="8" t="n"/>
      <c r="C1156" s="21" t="n"/>
      <c r="D1156" s="22" t="n"/>
      <c r="E1156" s="22">
        <f>IFERROR(+VLOOKUP(C1156,Master!B:C,2,0),"")</f>
        <v/>
      </c>
      <c r="F1156" s="23">
        <f>LOOKUP(2,1/((Purchase!$D$1:$D$500=C1156)*(Purchase!$A$1:$A$500&lt;=A1156)),Purchase!$G$1:$G$500)</f>
        <v/>
      </c>
      <c r="G1156" s="23">
        <f>+D1156*F1156</f>
        <v/>
      </c>
    </row>
    <row r="1157">
      <c r="A1157" s="8" t="n"/>
      <c r="B1157" s="8" t="n"/>
      <c r="C1157" s="21" t="n"/>
      <c r="D1157" s="22" t="n"/>
      <c r="E1157" s="22">
        <f>IFERROR(+VLOOKUP(C1157,Master!B:C,2,0),"")</f>
        <v/>
      </c>
      <c r="F1157" s="23">
        <f>LOOKUP(2,1/((Purchase!$D$1:$D$500=C1157)*(Purchase!$A$1:$A$500&lt;=A1157)),Purchase!$G$1:$G$500)</f>
        <v/>
      </c>
      <c r="G1157" s="23">
        <f>+D1157*F1157</f>
        <v/>
      </c>
    </row>
    <row r="1158">
      <c r="A1158" s="8" t="n"/>
      <c r="B1158" s="8" t="n"/>
      <c r="C1158" s="21" t="n"/>
      <c r="D1158" s="22" t="n"/>
      <c r="E1158" s="22">
        <f>IFERROR(+VLOOKUP(C1158,Master!B:C,2,0),"")</f>
        <v/>
      </c>
      <c r="F1158" s="23">
        <f>LOOKUP(2,1/((Purchase!$D$1:$D$500=C1158)*(Purchase!$A$1:$A$500&lt;=A1158)),Purchase!$G$1:$G$500)</f>
        <v/>
      </c>
      <c r="G1158" s="23">
        <f>+D1158*F1158</f>
        <v/>
      </c>
    </row>
    <row r="1159">
      <c r="A1159" s="8" t="n"/>
      <c r="B1159" s="8" t="n"/>
      <c r="C1159" s="21" t="n"/>
      <c r="D1159" s="22" t="n"/>
      <c r="E1159" s="22">
        <f>IFERROR(+VLOOKUP(C1159,Master!B:C,2,0),"")</f>
        <v/>
      </c>
      <c r="F1159" s="23">
        <f>LOOKUP(2,1/((Purchase!$D$1:$D$500=C1159)*(Purchase!$A$1:$A$500&lt;=A1159)),Purchase!$G$1:$G$500)</f>
        <v/>
      </c>
      <c r="G1159" s="23">
        <f>+D1159*F1159</f>
        <v/>
      </c>
    </row>
    <row r="1160">
      <c r="A1160" s="8" t="n"/>
      <c r="B1160" s="8" t="n"/>
      <c r="C1160" s="21" t="n"/>
      <c r="D1160" s="22" t="n"/>
      <c r="E1160" s="22">
        <f>IFERROR(+VLOOKUP(C1160,Master!B:C,2,0),"")</f>
        <v/>
      </c>
      <c r="F1160" s="23">
        <f>LOOKUP(2,1/((Purchase!$D$1:$D$500=C1160)*(Purchase!$A$1:$A$500&lt;=A1160)),Purchase!$G$1:$G$500)</f>
        <v/>
      </c>
      <c r="G1160" s="23">
        <f>+D1160*F1160</f>
        <v/>
      </c>
    </row>
    <row r="1161">
      <c r="A1161" s="8" t="n"/>
      <c r="B1161" s="8" t="n"/>
      <c r="C1161" s="21" t="n"/>
      <c r="D1161" s="22" t="n"/>
      <c r="E1161" s="22">
        <f>IFERROR(+VLOOKUP(C1161,Master!B:C,2,0),"")</f>
        <v/>
      </c>
      <c r="F1161" s="23">
        <f>LOOKUP(2,1/((Purchase!$D$1:$D$500=C1161)*(Purchase!$A$1:$A$500&lt;=A1161)),Purchase!$G$1:$G$500)</f>
        <v/>
      </c>
      <c r="G1161" s="23">
        <f>+D1161*F1161</f>
        <v/>
      </c>
    </row>
    <row r="1162">
      <c r="A1162" s="8" t="n"/>
      <c r="B1162" s="8" t="n"/>
      <c r="C1162" s="21" t="n"/>
      <c r="D1162" s="22" t="n"/>
      <c r="E1162" s="22">
        <f>IFERROR(+VLOOKUP(C1162,Master!B:C,2,0),"")</f>
        <v/>
      </c>
      <c r="F1162" s="23">
        <f>LOOKUP(2,1/((Purchase!$D$1:$D$500=C1162)*(Purchase!$A$1:$A$500&lt;=A1162)),Purchase!$G$1:$G$500)</f>
        <v/>
      </c>
      <c r="G1162" s="23">
        <f>+D1162*F1162</f>
        <v/>
      </c>
    </row>
    <row r="1163">
      <c r="A1163" s="8" t="n"/>
      <c r="B1163" s="8" t="n"/>
      <c r="C1163" s="21" t="n"/>
      <c r="D1163" s="22" t="n"/>
      <c r="E1163" s="22">
        <f>IFERROR(+VLOOKUP(C1163,Master!B:C,2,0),"")</f>
        <v/>
      </c>
      <c r="F1163" s="23">
        <f>LOOKUP(2,1/((Purchase!$D$1:$D$500=C1163)*(Purchase!$A$1:$A$500&lt;=A1163)),Purchase!$G$1:$G$500)</f>
        <v/>
      </c>
      <c r="G1163" s="23">
        <f>+D1163*F1163</f>
        <v/>
      </c>
    </row>
    <row r="1164">
      <c r="A1164" s="8" t="n"/>
      <c r="B1164" s="8" t="n"/>
      <c r="C1164" s="21" t="n"/>
      <c r="D1164" s="22" t="n"/>
      <c r="E1164" s="22">
        <f>IFERROR(+VLOOKUP(C1164,Master!B:C,2,0),"")</f>
        <v/>
      </c>
      <c r="F1164" s="23">
        <f>LOOKUP(2,1/((Purchase!$D$1:$D$500=C1164)*(Purchase!$A$1:$A$500&lt;=A1164)),Purchase!$G$1:$G$500)</f>
        <v/>
      </c>
      <c r="G1164" s="23">
        <f>+D1164*F1164</f>
        <v/>
      </c>
    </row>
    <row r="1165">
      <c r="A1165" s="8" t="n"/>
      <c r="B1165" s="8" t="n"/>
      <c r="C1165" s="21" t="n"/>
      <c r="D1165" s="22" t="n"/>
      <c r="E1165" s="22">
        <f>IFERROR(+VLOOKUP(C1165,Master!B:C,2,0),"")</f>
        <v/>
      </c>
      <c r="F1165" s="23">
        <f>LOOKUP(2,1/((Purchase!$D$1:$D$500=C1165)*(Purchase!$A$1:$A$500&lt;=A1165)),Purchase!$G$1:$G$500)</f>
        <v/>
      </c>
      <c r="G1165" s="23">
        <f>+D1165*F1165</f>
        <v/>
      </c>
    </row>
    <row r="1166">
      <c r="A1166" s="8" t="n"/>
      <c r="B1166" s="8" t="n"/>
      <c r="C1166" s="21" t="n"/>
      <c r="D1166" s="22" t="n"/>
      <c r="E1166" s="22">
        <f>IFERROR(+VLOOKUP(C1166,Master!B:C,2,0),"")</f>
        <v/>
      </c>
      <c r="F1166" s="23">
        <f>LOOKUP(2,1/((Purchase!$D$1:$D$500=C1166)*(Purchase!$A$1:$A$500&lt;=A1166)),Purchase!$G$1:$G$500)</f>
        <v/>
      </c>
      <c r="G1166" s="23">
        <f>+D1166*F1166</f>
        <v/>
      </c>
    </row>
    <row r="1167">
      <c r="A1167" s="8" t="n"/>
      <c r="B1167" s="8" t="n"/>
      <c r="C1167" s="21" t="n"/>
      <c r="D1167" s="22" t="n"/>
      <c r="E1167" s="22">
        <f>IFERROR(+VLOOKUP(C1167,Master!B:C,2,0),"")</f>
        <v/>
      </c>
      <c r="F1167" s="23">
        <f>LOOKUP(2,1/((Purchase!$D$1:$D$500=C1167)*(Purchase!$A$1:$A$500&lt;=A1167)),Purchase!$G$1:$G$500)</f>
        <v/>
      </c>
      <c r="G1167" s="23">
        <f>+D1167*F1167</f>
        <v/>
      </c>
    </row>
    <row r="1168">
      <c r="A1168" s="8" t="n"/>
      <c r="B1168" s="8" t="n"/>
      <c r="C1168" s="21" t="n"/>
      <c r="D1168" s="22" t="n"/>
      <c r="E1168" s="22">
        <f>IFERROR(+VLOOKUP(C1168,Master!B:C,2,0),"")</f>
        <v/>
      </c>
      <c r="F1168" s="23">
        <f>LOOKUP(2,1/((Purchase!$D$1:$D$500=C1168)*(Purchase!$A$1:$A$500&lt;=A1168)),Purchase!$G$1:$G$500)</f>
        <v/>
      </c>
      <c r="G1168" s="23">
        <f>+D1168*F1168</f>
        <v/>
      </c>
    </row>
    <row r="1169">
      <c r="A1169" s="8" t="n"/>
      <c r="B1169" s="8" t="n"/>
      <c r="C1169" s="21" t="n"/>
      <c r="D1169" s="22" t="n"/>
      <c r="E1169" s="22">
        <f>IFERROR(+VLOOKUP(C1169,Master!B:C,2,0),"")</f>
        <v/>
      </c>
      <c r="F1169" s="23">
        <f>LOOKUP(2,1/((Purchase!$D$1:$D$500=C1169)*(Purchase!$A$1:$A$500&lt;=A1169)),Purchase!$G$1:$G$500)</f>
        <v/>
      </c>
      <c r="G1169" s="23">
        <f>+D1169*F1169</f>
        <v/>
      </c>
    </row>
    <row r="1170">
      <c r="A1170" s="8" t="n"/>
      <c r="B1170" s="8" t="n"/>
      <c r="C1170" s="21" t="n"/>
      <c r="D1170" s="22" t="n"/>
      <c r="E1170" s="22">
        <f>IFERROR(+VLOOKUP(C1170,Master!B:C,2,0),"")</f>
        <v/>
      </c>
      <c r="F1170" s="23">
        <f>LOOKUP(2,1/((Purchase!$D$1:$D$500=C1170)*(Purchase!$A$1:$A$500&lt;=A1170)),Purchase!$G$1:$G$500)</f>
        <v/>
      </c>
      <c r="G1170" s="23">
        <f>+D1170*F1170</f>
        <v/>
      </c>
    </row>
    <row r="1171">
      <c r="A1171" s="8" t="n"/>
      <c r="B1171" s="8" t="n"/>
      <c r="C1171" s="21" t="n"/>
      <c r="D1171" s="22" t="n"/>
      <c r="E1171" s="22">
        <f>IFERROR(+VLOOKUP(C1171,Master!B:C,2,0),"")</f>
        <v/>
      </c>
      <c r="F1171" s="23">
        <f>LOOKUP(2,1/((Purchase!$D$1:$D$500=C1171)*(Purchase!$A$1:$A$500&lt;=A1171)),Purchase!$G$1:$G$500)</f>
        <v/>
      </c>
      <c r="G1171" s="23">
        <f>+D1171*F1171</f>
        <v/>
      </c>
    </row>
    <row r="1172">
      <c r="A1172" s="8" t="n"/>
      <c r="B1172" s="8" t="n"/>
      <c r="C1172" s="21" t="n"/>
      <c r="D1172" s="22" t="n"/>
      <c r="E1172" s="22">
        <f>IFERROR(+VLOOKUP(C1172,Master!B:C,2,0),"")</f>
        <v/>
      </c>
      <c r="F1172" s="23">
        <f>LOOKUP(2,1/((Purchase!$D$1:$D$500=C1172)*(Purchase!$A$1:$A$500&lt;=A1172)),Purchase!$G$1:$G$500)</f>
        <v/>
      </c>
      <c r="G1172" s="23">
        <f>+D1172*F1172</f>
        <v/>
      </c>
    </row>
    <row r="1173">
      <c r="A1173" s="8" t="n"/>
      <c r="B1173" s="8" t="n"/>
      <c r="C1173" s="21" t="n"/>
      <c r="D1173" s="22" t="n"/>
      <c r="E1173" s="22">
        <f>IFERROR(+VLOOKUP(C1173,Master!B:C,2,0),"")</f>
        <v/>
      </c>
      <c r="F1173" s="23">
        <f>LOOKUP(2,1/((Purchase!$D$1:$D$500=C1173)*(Purchase!$A$1:$A$500&lt;=A1173)),Purchase!$G$1:$G$500)</f>
        <v/>
      </c>
      <c r="G1173" s="23">
        <f>+D1173*F1173</f>
        <v/>
      </c>
    </row>
    <row r="1174">
      <c r="A1174" s="8" t="n"/>
      <c r="B1174" s="8" t="n"/>
      <c r="C1174" s="21" t="n"/>
      <c r="D1174" s="22" t="n"/>
      <c r="E1174" s="22">
        <f>IFERROR(+VLOOKUP(C1174,Master!B:C,2,0),"")</f>
        <v/>
      </c>
      <c r="F1174" s="23">
        <f>LOOKUP(2,1/((Purchase!$D$1:$D$500=C1174)*(Purchase!$A$1:$A$500&lt;=A1174)),Purchase!$G$1:$G$500)</f>
        <v/>
      </c>
      <c r="G1174" s="23">
        <f>+D1174*F1174</f>
        <v/>
      </c>
    </row>
    <row r="1175">
      <c r="A1175" s="8" t="n"/>
      <c r="B1175" s="8" t="n"/>
      <c r="C1175" s="21" t="n"/>
      <c r="D1175" s="22" t="n"/>
      <c r="E1175" s="22">
        <f>IFERROR(+VLOOKUP(C1175,Master!B:C,2,0),"")</f>
        <v/>
      </c>
      <c r="F1175" s="23">
        <f>LOOKUP(2,1/((Purchase!$D$1:$D$500=C1175)*(Purchase!$A$1:$A$500&lt;=A1175)),Purchase!$G$1:$G$500)</f>
        <v/>
      </c>
      <c r="G1175" s="23">
        <f>+D1175*F1175</f>
        <v/>
      </c>
    </row>
    <row r="1176">
      <c r="A1176" s="8" t="n"/>
      <c r="B1176" s="8" t="n"/>
      <c r="C1176" s="21" t="n"/>
      <c r="D1176" s="22" t="n"/>
      <c r="E1176" s="22">
        <f>IFERROR(+VLOOKUP(C1176,Master!B:C,2,0),"")</f>
        <v/>
      </c>
      <c r="F1176" s="23">
        <f>LOOKUP(2,1/((Purchase!$D$1:$D$500=C1176)*(Purchase!$A$1:$A$500&lt;=A1176)),Purchase!$G$1:$G$500)</f>
        <v/>
      </c>
      <c r="G1176" s="23">
        <f>+D1176*F1176</f>
        <v/>
      </c>
    </row>
    <row r="1177">
      <c r="A1177" s="8" t="n"/>
      <c r="B1177" s="8" t="n"/>
      <c r="C1177" s="21" t="n"/>
      <c r="D1177" s="22" t="n"/>
      <c r="E1177" s="22">
        <f>IFERROR(+VLOOKUP(C1177,Master!B:C,2,0),"")</f>
        <v/>
      </c>
      <c r="F1177" s="23">
        <f>LOOKUP(2,1/((Purchase!$D$1:$D$500=C1177)*(Purchase!$A$1:$A$500&lt;=A1177)),Purchase!$G$1:$G$500)</f>
        <v/>
      </c>
      <c r="G1177" s="23">
        <f>+D1177*F1177</f>
        <v/>
      </c>
    </row>
    <row r="1178">
      <c r="A1178" s="8" t="n"/>
      <c r="B1178" s="8" t="n"/>
      <c r="C1178" s="21" t="n"/>
      <c r="D1178" s="22" t="n"/>
      <c r="E1178" s="22">
        <f>IFERROR(+VLOOKUP(C1178,Master!B:C,2,0),"")</f>
        <v/>
      </c>
      <c r="F1178" s="23">
        <f>LOOKUP(2,1/((Purchase!$D$1:$D$500=C1178)*(Purchase!$A$1:$A$500&lt;=A1178)),Purchase!$G$1:$G$500)</f>
        <v/>
      </c>
      <c r="G1178" s="23">
        <f>+D1178*F1178</f>
        <v/>
      </c>
    </row>
    <row r="1179">
      <c r="A1179" s="8" t="n"/>
      <c r="B1179" s="8" t="n"/>
      <c r="C1179" s="21" t="n"/>
      <c r="D1179" s="22" t="n"/>
      <c r="E1179" s="22">
        <f>IFERROR(+VLOOKUP(C1179,Master!B:C,2,0),"")</f>
        <v/>
      </c>
      <c r="F1179" s="23">
        <f>LOOKUP(2,1/((Purchase!$D$1:$D$500=C1179)*(Purchase!$A$1:$A$500&lt;=A1179)),Purchase!$G$1:$G$500)</f>
        <v/>
      </c>
      <c r="G1179" s="23">
        <f>+D1179*F1179</f>
        <v/>
      </c>
    </row>
    <row r="1180">
      <c r="A1180" s="8" t="n"/>
      <c r="B1180" s="8" t="n"/>
      <c r="C1180" s="21" t="n"/>
      <c r="D1180" s="22" t="n"/>
      <c r="E1180" s="22">
        <f>IFERROR(+VLOOKUP(C1180,Master!B:C,2,0),"")</f>
        <v/>
      </c>
      <c r="F1180" s="23">
        <f>LOOKUP(2,1/((Purchase!$D$1:$D$500=C1180)*(Purchase!$A$1:$A$500&lt;=A1180)),Purchase!$G$1:$G$500)</f>
        <v/>
      </c>
      <c r="G1180" s="23">
        <f>+D1180*F1180</f>
        <v/>
      </c>
    </row>
    <row r="1181">
      <c r="A1181" s="8" t="n"/>
      <c r="B1181" s="8" t="n"/>
      <c r="C1181" s="21" t="n"/>
      <c r="D1181" s="22" t="n"/>
      <c r="E1181" s="22">
        <f>IFERROR(+VLOOKUP(C1181,Master!B:C,2,0),"")</f>
        <v/>
      </c>
      <c r="F1181" s="23">
        <f>LOOKUP(2,1/((Purchase!$D$1:$D$500=C1181)*(Purchase!$A$1:$A$500&lt;=A1181)),Purchase!$G$1:$G$500)</f>
        <v/>
      </c>
      <c r="G1181" s="23">
        <f>+D1181*F1181</f>
        <v/>
      </c>
    </row>
    <row r="1182">
      <c r="A1182" s="8" t="n"/>
      <c r="B1182" s="8" t="n"/>
      <c r="C1182" s="21" t="n"/>
      <c r="D1182" s="22" t="n"/>
      <c r="E1182" s="22">
        <f>IFERROR(+VLOOKUP(C1182,Master!B:C,2,0),"")</f>
        <v/>
      </c>
      <c r="F1182" s="23">
        <f>LOOKUP(2,1/((Purchase!$D$1:$D$500=C1182)*(Purchase!$A$1:$A$500&lt;=A1182)),Purchase!$G$1:$G$500)</f>
        <v/>
      </c>
      <c r="G1182" s="23">
        <f>+D1182*F1182</f>
        <v/>
      </c>
    </row>
    <row r="1183">
      <c r="A1183" s="8" t="n"/>
      <c r="B1183" s="8" t="n"/>
      <c r="C1183" s="21" t="n"/>
      <c r="D1183" s="22" t="n"/>
      <c r="E1183" s="22">
        <f>IFERROR(+VLOOKUP(C1183,Master!B:C,2,0),"")</f>
        <v/>
      </c>
      <c r="F1183" s="23">
        <f>LOOKUP(2,1/((Purchase!$D$1:$D$500=C1183)*(Purchase!$A$1:$A$500&lt;=A1183)),Purchase!$G$1:$G$500)</f>
        <v/>
      </c>
      <c r="G1183" s="23">
        <f>+D1183*F1183</f>
        <v/>
      </c>
    </row>
    <row r="1184">
      <c r="A1184" s="8" t="n"/>
      <c r="B1184" s="8" t="n"/>
      <c r="C1184" s="21" t="n"/>
      <c r="D1184" s="22" t="n"/>
      <c r="E1184" s="22">
        <f>IFERROR(+VLOOKUP(C1184,Master!B:C,2,0),"")</f>
        <v/>
      </c>
      <c r="F1184" s="23">
        <f>LOOKUP(2,1/((Purchase!$D$1:$D$500=C1184)*(Purchase!$A$1:$A$500&lt;=A1184)),Purchase!$G$1:$G$500)</f>
        <v/>
      </c>
      <c r="G1184" s="23">
        <f>+D1184*F1184</f>
        <v/>
      </c>
    </row>
    <row r="1185">
      <c r="A1185" s="8" t="n"/>
      <c r="B1185" s="8" t="n"/>
      <c r="C1185" s="21" t="n"/>
      <c r="D1185" s="22" t="n"/>
      <c r="E1185" s="22">
        <f>IFERROR(+VLOOKUP(C1185,Master!B:C,2,0),"")</f>
        <v/>
      </c>
      <c r="F1185" s="23">
        <f>LOOKUP(2,1/((Purchase!$D$1:$D$500=C1185)*(Purchase!$A$1:$A$500&lt;=A1185)),Purchase!$G$1:$G$500)</f>
        <v/>
      </c>
      <c r="G1185" s="23">
        <f>+D1185*F1185</f>
        <v/>
      </c>
    </row>
    <row r="1186">
      <c r="A1186" s="8" t="n"/>
      <c r="B1186" s="8" t="n"/>
      <c r="C1186" s="21" t="n"/>
      <c r="D1186" s="22" t="n"/>
      <c r="E1186" s="22">
        <f>IFERROR(+VLOOKUP(C1186,Master!B:C,2,0),"")</f>
        <v/>
      </c>
      <c r="F1186" s="23">
        <f>LOOKUP(2,1/((Purchase!$D$1:$D$500=C1186)*(Purchase!$A$1:$A$500&lt;=A1186)),Purchase!$G$1:$G$500)</f>
        <v/>
      </c>
      <c r="G1186" s="23">
        <f>+D1186*F1186</f>
        <v/>
      </c>
    </row>
    <row r="1187">
      <c r="A1187" s="8" t="n"/>
      <c r="B1187" s="8" t="n"/>
      <c r="C1187" s="21" t="n"/>
      <c r="D1187" s="22" t="n"/>
      <c r="E1187" s="22">
        <f>IFERROR(+VLOOKUP(C1187,Master!B:C,2,0),"")</f>
        <v/>
      </c>
      <c r="F1187" s="23">
        <f>LOOKUP(2,1/((Purchase!$D$1:$D$500=C1187)*(Purchase!$A$1:$A$500&lt;=A1187)),Purchase!$G$1:$G$500)</f>
        <v/>
      </c>
      <c r="G1187" s="23">
        <f>+D1187*F1187</f>
        <v/>
      </c>
    </row>
    <row r="1188">
      <c r="A1188" s="8" t="n"/>
      <c r="B1188" s="8" t="n"/>
      <c r="C1188" s="21" t="n"/>
      <c r="D1188" s="22" t="n"/>
      <c r="E1188" s="22">
        <f>IFERROR(+VLOOKUP(C1188,Master!B:C,2,0),"")</f>
        <v/>
      </c>
      <c r="F1188" s="23">
        <f>LOOKUP(2,1/((Purchase!$D$1:$D$500=C1188)*(Purchase!$A$1:$A$500&lt;=A1188)),Purchase!$G$1:$G$500)</f>
        <v/>
      </c>
      <c r="G1188" s="23">
        <f>+D1188*F1188</f>
        <v/>
      </c>
    </row>
    <row r="1189">
      <c r="A1189" s="8" t="n"/>
      <c r="B1189" s="8" t="n"/>
      <c r="C1189" s="21" t="n"/>
      <c r="D1189" s="22" t="n"/>
      <c r="E1189" s="22">
        <f>IFERROR(+VLOOKUP(C1189,Master!B:C,2,0),"")</f>
        <v/>
      </c>
      <c r="F1189" s="23">
        <f>LOOKUP(2,1/((Purchase!$D$1:$D$500=C1189)*(Purchase!$A$1:$A$500&lt;=A1189)),Purchase!$G$1:$G$500)</f>
        <v/>
      </c>
      <c r="G1189" s="23">
        <f>+D1189*F1189</f>
        <v/>
      </c>
    </row>
    <row r="1190">
      <c r="A1190" s="8" t="n"/>
      <c r="B1190" s="8" t="n"/>
      <c r="C1190" s="21" t="n"/>
      <c r="D1190" s="22" t="n"/>
      <c r="E1190" s="22">
        <f>IFERROR(+VLOOKUP(C1190,Master!B:C,2,0),"")</f>
        <v/>
      </c>
      <c r="F1190" s="23">
        <f>LOOKUP(2,1/((Purchase!$D$1:$D$500=C1190)*(Purchase!$A$1:$A$500&lt;=A1190)),Purchase!$G$1:$G$500)</f>
        <v/>
      </c>
      <c r="G1190" s="23">
        <f>+D1190*F1190</f>
        <v/>
      </c>
    </row>
    <row r="1191">
      <c r="A1191" s="8" t="n"/>
      <c r="B1191" s="8" t="n"/>
      <c r="C1191" s="21" t="n"/>
      <c r="D1191" s="22" t="n"/>
      <c r="E1191" s="22">
        <f>IFERROR(+VLOOKUP(C1191,Master!B:C,2,0),"")</f>
        <v/>
      </c>
      <c r="F1191" s="23">
        <f>LOOKUP(2,1/((Purchase!$D$1:$D$500=C1191)*(Purchase!$A$1:$A$500&lt;=A1191)),Purchase!$G$1:$G$500)</f>
        <v/>
      </c>
      <c r="G1191" s="23">
        <f>+D1191*F1191</f>
        <v/>
      </c>
    </row>
    <row r="1192">
      <c r="A1192" s="8" t="n"/>
      <c r="B1192" s="8" t="n"/>
      <c r="C1192" s="21" t="n"/>
      <c r="D1192" s="22" t="n"/>
      <c r="E1192" s="22">
        <f>IFERROR(+VLOOKUP(C1192,Master!B:C,2,0),"")</f>
        <v/>
      </c>
      <c r="F1192" s="23">
        <f>LOOKUP(2,1/((Purchase!$D$1:$D$500=C1192)*(Purchase!$A$1:$A$500&lt;=A1192)),Purchase!$G$1:$G$500)</f>
        <v/>
      </c>
      <c r="G1192" s="23">
        <f>+D1192*F1192</f>
        <v/>
      </c>
    </row>
    <row r="1193">
      <c r="A1193" s="8" t="n"/>
      <c r="B1193" s="8" t="n"/>
      <c r="C1193" s="21" t="n"/>
      <c r="D1193" s="22" t="n"/>
      <c r="E1193" s="22">
        <f>IFERROR(+VLOOKUP(C1193,Master!B:C,2,0),"")</f>
        <v/>
      </c>
      <c r="F1193" s="23">
        <f>LOOKUP(2,1/((Purchase!$D$1:$D$500=C1193)*(Purchase!$A$1:$A$500&lt;=A1193)),Purchase!$G$1:$G$500)</f>
        <v/>
      </c>
      <c r="G1193" s="23">
        <f>+D1193*F1193</f>
        <v/>
      </c>
    </row>
    <row r="1194">
      <c r="A1194" s="8" t="n"/>
      <c r="B1194" s="8" t="n"/>
      <c r="C1194" s="21" t="n"/>
      <c r="D1194" s="22" t="n"/>
      <c r="E1194" s="22">
        <f>IFERROR(+VLOOKUP(C1194,Master!B:C,2,0),"")</f>
        <v/>
      </c>
      <c r="F1194" s="23">
        <f>LOOKUP(2,1/((Purchase!$D$1:$D$500=C1194)*(Purchase!$A$1:$A$500&lt;=A1194)),Purchase!$G$1:$G$500)</f>
        <v/>
      </c>
      <c r="G1194" s="23">
        <f>+D1194*F1194</f>
        <v/>
      </c>
    </row>
    <row r="1195">
      <c r="A1195" s="8" t="n"/>
      <c r="B1195" s="8" t="n"/>
      <c r="C1195" s="21" t="n"/>
      <c r="D1195" s="22" t="n"/>
      <c r="E1195" s="22">
        <f>IFERROR(+VLOOKUP(C1195,Master!B:C,2,0),"")</f>
        <v/>
      </c>
      <c r="F1195" s="23">
        <f>LOOKUP(2,1/((Purchase!$D$1:$D$500=C1195)*(Purchase!$A$1:$A$500&lt;=A1195)),Purchase!$G$1:$G$500)</f>
        <v/>
      </c>
      <c r="G1195" s="23">
        <f>+D1195*F1195</f>
        <v/>
      </c>
    </row>
    <row r="1196">
      <c r="A1196" s="8" t="n"/>
      <c r="B1196" s="8" t="n"/>
      <c r="C1196" s="21" t="n"/>
      <c r="D1196" s="22" t="n"/>
      <c r="E1196" s="22">
        <f>IFERROR(+VLOOKUP(C1196,Master!B:C,2,0),"")</f>
        <v/>
      </c>
      <c r="F1196" s="23">
        <f>LOOKUP(2,1/((Purchase!$D$1:$D$500=C1196)*(Purchase!$A$1:$A$500&lt;=A1196)),Purchase!$G$1:$G$500)</f>
        <v/>
      </c>
      <c r="G1196" s="23">
        <f>+D1196*F1196</f>
        <v/>
      </c>
    </row>
    <row r="1197">
      <c r="A1197" s="8" t="n"/>
      <c r="B1197" s="8" t="n"/>
      <c r="C1197" s="21" t="n"/>
      <c r="D1197" s="22" t="n"/>
      <c r="E1197" s="22">
        <f>IFERROR(+VLOOKUP(C1197,Master!B:C,2,0),"")</f>
        <v/>
      </c>
      <c r="F1197" s="23">
        <f>LOOKUP(2,1/((Purchase!$D$1:$D$500=C1197)*(Purchase!$A$1:$A$500&lt;=A1197)),Purchase!$G$1:$G$500)</f>
        <v/>
      </c>
      <c r="G1197" s="23">
        <f>+D1197*F1197</f>
        <v/>
      </c>
    </row>
    <row r="1198">
      <c r="A1198" s="8" t="n"/>
      <c r="B1198" s="8" t="n"/>
      <c r="C1198" s="21" t="n"/>
      <c r="D1198" s="22" t="n"/>
      <c r="E1198" s="22">
        <f>IFERROR(+VLOOKUP(C1198,Master!B:C,2,0),"")</f>
        <v/>
      </c>
      <c r="F1198" s="23">
        <f>LOOKUP(2,1/((Purchase!$D$1:$D$500=C1198)*(Purchase!$A$1:$A$500&lt;=A1198)),Purchase!$G$1:$G$500)</f>
        <v/>
      </c>
      <c r="G1198" s="23">
        <f>+D1198*F1198</f>
        <v/>
      </c>
    </row>
    <row r="1199">
      <c r="A1199" s="8" t="n"/>
      <c r="B1199" s="8" t="n"/>
      <c r="C1199" s="21" t="n"/>
      <c r="D1199" s="22" t="n"/>
      <c r="E1199" s="22">
        <f>IFERROR(+VLOOKUP(C1199,Master!B:C,2,0),"")</f>
        <v/>
      </c>
      <c r="F1199" s="23">
        <f>LOOKUP(2,1/((Purchase!$D$1:$D$500=C1199)*(Purchase!$A$1:$A$500&lt;=A1199)),Purchase!$G$1:$G$500)</f>
        <v/>
      </c>
      <c r="G1199" s="23">
        <f>+D1199*F1199</f>
        <v/>
      </c>
    </row>
    <row r="1200">
      <c r="A1200" s="8" t="n"/>
      <c r="B1200" s="8" t="n"/>
      <c r="C1200" s="21" t="n"/>
      <c r="D1200" s="22" t="n"/>
      <c r="E1200" s="22">
        <f>IFERROR(+VLOOKUP(C1200,Master!B:C,2,0),"")</f>
        <v/>
      </c>
      <c r="F1200" s="23">
        <f>LOOKUP(2,1/((Purchase!$D$1:$D$500=C1200)*(Purchase!$A$1:$A$500&lt;=A1200)),Purchase!$G$1:$G$500)</f>
        <v/>
      </c>
      <c r="G1200" s="23">
        <f>+D1200*F1200</f>
        <v/>
      </c>
    </row>
    <row r="1201">
      <c r="A1201" s="8" t="n"/>
      <c r="B1201" s="8" t="n"/>
      <c r="C1201" s="21" t="n"/>
      <c r="D1201" s="22" t="n"/>
      <c r="E1201" s="22">
        <f>IFERROR(+VLOOKUP(C1201,Master!B:C,2,0),"")</f>
        <v/>
      </c>
      <c r="F1201" s="23">
        <f>LOOKUP(2,1/((Purchase!$D$1:$D$500=C1201)*(Purchase!$A$1:$A$500&lt;=A1201)),Purchase!$G$1:$G$500)</f>
        <v/>
      </c>
      <c r="G1201" s="23">
        <f>+D1201*F1201</f>
        <v/>
      </c>
    </row>
    <row r="1202">
      <c r="A1202" s="8" t="n"/>
      <c r="B1202" s="8" t="n"/>
      <c r="C1202" s="21" t="n"/>
      <c r="D1202" s="22" t="n"/>
      <c r="E1202" s="22">
        <f>IFERROR(+VLOOKUP(C1202,Master!B:C,2,0),"")</f>
        <v/>
      </c>
      <c r="F1202" s="23">
        <f>LOOKUP(2,1/((Purchase!$D$1:$D$500=C1202)*(Purchase!$A$1:$A$500&lt;=A1202)),Purchase!$G$1:$G$500)</f>
        <v/>
      </c>
      <c r="G1202" s="23">
        <f>+D1202*F1202</f>
        <v/>
      </c>
    </row>
    <row r="1203">
      <c r="A1203" s="8" t="n"/>
      <c r="B1203" s="8" t="n"/>
      <c r="C1203" s="21" t="n"/>
      <c r="D1203" s="22" t="n"/>
      <c r="E1203" s="22">
        <f>IFERROR(+VLOOKUP(C1203,Master!B:C,2,0),"")</f>
        <v/>
      </c>
      <c r="F1203" s="23">
        <f>LOOKUP(2,1/((Purchase!$D$1:$D$500=C1203)*(Purchase!$A$1:$A$500&lt;=A1203)),Purchase!$G$1:$G$500)</f>
        <v/>
      </c>
      <c r="G1203" s="23">
        <f>+D1203*F1203</f>
        <v/>
      </c>
    </row>
    <row r="1204">
      <c r="A1204" s="8" t="n"/>
      <c r="B1204" s="8" t="n"/>
      <c r="C1204" s="21" t="n"/>
      <c r="D1204" s="22" t="n"/>
      <c r="E1204" s="22">
        <f>IFERROR(+VLOOKUP(C1204,Master!B:C,2,0),"")</f>
        <v/>
      </c>
      <c r="F1204" s="23">
        <f>LOOKUP(2,1/((Purchase!$D$1:$D$500=C1204)*(Purchase!$A$1:$A$500&lt;=A1204)),Purchase!$G$1:$G$500)</f>
        <v/>
      </c>
      <c r="G1204" s="23">
        <f>+D1204*F1204</f>
        <v/>
      </c>
    </row>
    <row r="1205">
      <c r="A1205" s="8" t="n"/>
      <c r="B1205" s="8" t="n"/>
      <c r="C1205" s="21" t="n"/>
      <c r="D1205" s="22" t="n"/>
      <c r="E1205" s="22">
        <f>IFERROR(+VLOOKUP(C1205,Master!B:C,2,0),"")</f>
        <v/>
      </c>
      <c r="F1205" s="23">
        <f>LOOKUP(2,1/((Purchase!$D$1:$D$500=C1205)*(Purchase!$A$1:$A$500&lt;=A1205)),Purchase!$G$1:$G$500)</f>
        <v/>
      </c>
      <c r="G1205" s="23">
        <f>+D1205*F1205</f>
        <v/>
      </c>
    </row>
    <row r="1206">
      <c r="A1206" s="8" t="n"/>
      <c r="B1206" s="8" t="n"/>
      <c r="C1206" s="21" t="n"/>
      <c r="D1206" s="22" t="n"/>
      <c r="E1206" s="22">
        <f>IFERROR(+VLOOKUP(C1206,Master!B:C,2,0),"")</f>
        <v/>
      </c>
      <c r="F1206" s="23">
        <f>LOOKUP(2,1/((Purchase!$D$1:$D$500=C1206)*(Purchase!$A$1:$A$500&lt;=A1206)),Purchase!$G$1:$G$500)</f>
        <v/>
      </c>
      <c r="G1206" s="23">
        <f>+D1206*F1206</f>
        <v/>
      </c>
    </row>
    <row r="1207">
      <c r="A1207" s="8" t="n"/>
      <c r="B1207" s="8" t="n"/>
      <c r="C1207" s="21" t="n"/>
      <c r="D1207" s="22" t="n"/>
      <c r="E1207" s="22">
        <f>IFERROR(+VLOOKUP(C1207,Master!B:C,2,0),"")</f>
        <v/>
      </c>
      <c r="F1207" s="23">
        <f>LOOKUP(2,1/((Purchase!$D$1:$D$500=C1207)*(Purchase!$A$1:$A$500&lt;=A1207)),Purchase!$G$1:$G$500)</f>
        <v/>
      </c>
      <c r="G1207" s="23">
        <f>+D1207*F1207</f>
        <v/>
      </c>
    </row>
    <row r="1208">
      <c r="A1208" s="8" t="n"/>
      <c r="B1208" s="8" t="n"/>
      <c r="C1208" s="21" t="n"/>
      <c r="D1208" s="22" t="n"/>
      <c r="E1208" s="22">
        <f>IFERROR(+VLOOKUP(C1208,Master!B:C,2,0),"")</f>
        <v/>
      </c>
      <c r="F1208" s="23">
        <f>LOOKUP(2,1/((Purchase!$D$1:$D$500=C1208)*(Purchase!$A$1:$A$500&lt;=A1208)),Purchase!$G$1:$G$500)</f>
        <v/>
      </c>
      <c r="G1208" s="23">
        <f>+D1208*F1208</f>
        <v/>
      </c>
    </row>
    <row r="1209">
      <c r="A1209" s="8" t="n"/>
      <c r="B1209" s="8" t="n"/>
      <c r="C1209" s="21" t="n"/>
      <c r="D1209" s="22" t="n"/>
      <c r="E1209" s="22">
        <f>IFERROR(+VLOOKUP(C1209,Master!B:C,2,0),"")</f>
        <v/>
      </c>
      <c r="F1209" s="23">
        <f>LOOKUP(2,1/((Purchase!$D$1:$D$500=C1209)*(Purchase!$A$1:$A$500&lt;=A1209)),Purchase!$G$1:$G$500)</f>
        <v/>
      </c>
      <c r="G1209" s="23">
        <f>+D1209*F1209</f>
        <v/>
      </c>
    </row>
    <row r="1210">
      <c r="A1210" s="8" t="n"/>
      <c r="B1210" s="8" t="n"/>
      <c r="C1210" s="21" t="n"/>
      <c r="D1210" s="22" t="n"/>
      <c r="E1210" s="22">
        <f>IFERROR(+VLOOKUP(C1210,Master!B:C,2,0),"")</f>
        <v/>
      </c>
      <c r="F1210" s="23">
        <f>LOOKUP(2,1/((Purchase!$D$1:$D$500=C1210)*(Purchase!$A$1:$A$500&lt;=A1210)),Purchase!$G$1:$G$500)</f>
        <v/>
      </c>
      <c r="G1210" s="23">
        <f>+D1210*F1210</f>
        <v/>
      </c>
    </row>
    <row r="1211">
      <c r="A1211" s="8" t="n"/>
      <c r="B1211" s="8" t="n"/>
      <c r="C1211" s="21" t="n"/>
      <c r="D1211" s="22" t="n"/>
      <c r="E1211" s="22">
        <f>IFERROR(+VLOOKUP(C1211,Master!B:C,2,0),"")</f>
        <v/>
      </c>
      <c r="F1211" s="23">
        <f>LOOKUP(2,1/((Purchase!$D$1:$D$500=C1211)*(Purchase!$A$1:$A$500&lt;=A1211)),Purchase!$G$1:$G$500)</f>
        <v/>
      </c>
      <c r="G1211" s="23">
        <f>+D1211*F1211</f>
        <v/>
      </c>
    </row>
    <row r="1212">
      <c r="A1212" s="8" t="n"/>
      <c r="B1212" s="8" t="n"/>
      <c r="C1212" s="21" t="n"/>
      <c r="D1212" s="22" t="n"/>
      <c r="E1212" s="22">
        <f>IFERROR(+VLOOKUP(C1212,Master!B:C,2,0),"")</f>
        <v/>
      </c>
      <c r="F1212" s="23">
        <f>LOOKUP(2,1/((Purchase!$D$1:$D$500=C1212)*(Purchase!$A$1:$A$500&lt;=A1212)),Purchase!$G$1:$G$500)</f>
        <v/>
      </c>
      <c r="G1212" s="23">
        <f>+D1212*F1212</f>
        <v/>
      </c>
    </row>
    <row r="1213">
      <c r="A1213" s="8" t="n"/>
      <c r="B1213" s="8" t="n"/>
      <c r="C1213" s="21" t="n"/>
      <c r="D1213" s="22" t="n"/>
      <c r="E1213" s="22">
        <f>IFERROR(+VLOOKUP(C1213,Master!B:C,2,0),"")</f>
        <v/>
      </c>
      <c r="F1213" s="23">
        <f>LOOKUP(2,1/((Purchase!$D$1:$D$500=C1213)*(Purchase!$A$1:$A$500&lt;=A1213)),Purchase!$G$1:$G$500)</f>
        <v/>
      </c>
      <c r="G1213" s="23">
        <f>+D1213*F1213</f>
        <v/>
      </c>
    </row>
    <row r="1214">
      <c r="A1214" s="8" t="n"/>
      <c r="B1214" s="8" t="n"/>
      <c r="C1214" s="21" t="n"/>
      <c r="D1214" s="22" t="n"/>
      <c r="E1214" s="22">
        <f>IFERROR(+VLOOKUP(C1214,Master!B:C,2,0),"")</f>
        <v/>
      </c>
      <c r="F1214" s="23">
        <f>LOOKUP(2,1/((Purchase!$D$1:$D$500=C1214)*(Purchase!$A$1:$A$500&lt;=A1214)),Purchase!$G$1:$G$500)</f>
        <v/>
      </c>
      <c r="G1214" s="23">
        <f>+D1214*F1214</f>
        <v/>
      </c>
    </row>
    <row r="1215">
      <c r="A1215" s="8" t="n"/>
      <c r="B1215" s="8" t="n"/>
      <c r="C1215" s="21" t="n"/>
      <c r="D1215" s="22" t="n"/>
      <c r="E1215" s="22">
        <f>IFERROR(+VLOOKUP(C1215,Master!B:C,2,0),"")</f>
        <v/>
      </c>
      <c r="F1215" s="23">
        <f>LOOKUP(2,1/((Purchase!$D$1:$D$500=C1215)*(Purchase!$A$1:$A$500&lt;=A1215)),Purchase!$G$1:$G$500)</f>
        <v/>
      </c>
      <c r="G1215" s="23">
        <f>+D1215*F1215</f>
        <v/>
      </c>
    </row>
    <row r="1216">
      <c r="A1216" s="8" t="n"/>
      <c r="B1216" s="8" t="n"/>
      <c r="C1216" s="21" t="n"/>
      <c r="D1216" s="22" t="n"/>
      <c r="E1216" s="22">
        <f>IFERROR(+VLOOKUP(C1216,Master!B:C,2,0),"")</f>
        <v/>
      </c>
      <c r="F1216" s="23">
        <f>LOOKUP(2,1/((Purchase!$D$1:$D$500=C1216)*(Purchase!$A$1:$A$500&lt;=A1216)),Purchase!$G$1:$G$500)</f>
        <v/>
      </c>
      <c r="G1216" s="23">
        <f>+D1216*F1216</f>
        <v/>
      </c>
    </row>
    <row r="1217">
      <c r="A1217" s="8" t="n"/>
      <c r="B1217" s="8" t="n"/>
      <c r="C1217" s="21" t="n"/>
      <c r="D1217" s="22" t="n"/>
      <c r="E1217" s="22">
        <f>IFERROR(+VLOOKUP(C1217,Master!B:C,2,0),"")</f>
        <v/>
      </c>
      <c r="F1217" s="23">
        <f>LOOKUP(2,1/((Purchase!$D$1:$D$500=C1217)*(Purchase!$A$1:$A$500&lt;=A1217)),Purchase!$G$1:$G$500)</f>
        <v/>
      </c>
      <c r="G1217" s="23">
        <f>+D1217*F1217</f>
        <v/>
      </c>
    </row>
    <row r="1218">
      <c r="A1218" s="8" t="n"/>
      <c r="B1218" s="8" t="n"/>
      <c r="C1218" s="21" t="n"/>
      <c r="D1218" s="22" t="n"/>
      <c r="E1218" s="22">
        <f>IFERROR(+VLOOKUP(C1218,Master!B:C,2,0),"")</f>
        <v/>
      </c>
      <c r="F1218" s="23">
        <f>LOOKUP(2,1/((Purchase!$D$1:$D$500=C1218)*(Purchase!$A$1:$A$500&lt;=A1218)),Purchase!$G$1:$G$500)</f>
        <v/>
      </c>
      <c r="G1218" s="23">
        <f>+D1218*F1218</f>
        <v/>
      </c>
    </row>
    <row r="1219">
      <c r="A1219" s="8" t="n"/>
      <c r="B1219" s="8" t="n"/>
      <c r="C1219" s="21" t="n"/>
      <c r="D1219" s="22" t="n"/>
      <c r="E1219" s="22">
        <f>IFERROR(+VLOOKUP(C1219,Master!B:C,2,0),"")</f>
        <v/>
      </c>
      <c r="F1219" s="23">
        <f>LOOKUP(2,1/((Purchase!$D$1:$D$500=C1219)*(Purchase!$A$1:$A$500&lt;=A1219)),Purchase!$G$1:$G$500)</f>
        <v/>
      </c>
      <c r="G1219" s="23">
        <f>+D1219*F1219</f>
        <v/>
      </c>
    </row>
    <row r="1220">
      <c r="A1220" s="8" t="n"/>
      <c r="B1220" s="8" t="n"/>
      <c r="C1220" s="21" t="n"/>
      <c r="D1220" s="22" t="n"/>
      <c r="E1220" s="22">
        <f>IFERROR(+VLOOKUP(C1220,Master!B:C,2,0),"")</f>
        <v/>
      </c>
      <c r="F1220" s="23">
        <f>LOOKUP(2,1/((Purchase!$D$1:$D$500=C1220)*(Purchase!$A$1:$A$500&lt;=A1220)),Purchase!$G$1:$G$500)</f>
        <v/>
      </c>
      <c r="G1220" s="23">
        <f>+D1220*F1220</f>
        <v/>
      </c>
    </row>
    <row r="1221">
      <c r="A1221" s="8" t="n"/>
      <c r="B1221" s="8" t="n"/>
      <c r="C1221" s="21" t="n"/>
      <c r="D1221" s="22" t="n"/>
      <c r="E1221" s="22">
        <f>IFERROR(+VLOOKUP(C1221,Master!B:C,2,0),"")</f>
        <v/>
      </c>
      <c r="F1221" s="23">
        <f>LOOKUP(2,1/((Purchase!$D$1:$D$500=C1221)*(Purchase!$A$1:$A$500&lt;=A1221)),Purchase!$G$1:$G$500)</f>
        <v/>
      </c>
      <c r="G1221" s="23">
        <f>+D1221*F1221</f>
        <v/>
      </c>
    </row>
    <row r="1222">
      <c r="A1222" s="8" t="n"/>
      <c r="B1222" s="8" t="n"/>
      <c r="C1222" s="21" t="n"/>
      <c r="D1222" s="22" t="n"/>
      <c r="E1222" s="22">
        <f>IFERROR(+VLOOKUP(C1222,Master!B:C,2,0),"")</f>
        <v/>
      </c>
      <c r="F1222" s="23">
        <f>LOOKUP(2,1/((Purchase!$D$1:$D$500=C1222)*(Purchase!$A$1:$A$500&lt;=A1222)),Purchase!$G$1:$G$500)</f>
        <v/>
      </c>
      <c r="G1222" s="23">
        <f>+D1222*F1222</f>
        <v/>
      </c>
    </row>
    <row r="1223">
      <c r="A1223" s="8" t="n"/>
      <c r="B1223" s="8" t="n"/>
      <c r="C1223" s="21" t="n"/>
      <c r="D1223" s="22" t="n"/>
      <c r="E1223" s="22">
        <f>IFERROR(+VLOOKUP(C1223,Master!B:C,2,0),"")</f>
        <v/>
      </c>
      <c r="F1223" s="23">
        <f>LOOKUP(2,1/((Purchase!$D$1:$D$500=C1223)*(Purchase!$A$1:$A$500&lt;=A1223)),Purchase!$G$1:$G$500)</f>
        <v/>
      </c>
      <c r="G1223" s="23">
        <f>+D1223*F1223</f>
        <v/>
      </c>
    </row>
    <row r="1224">
      <c r="A1224" s="8" t="n"/>
      <c r="B1224" s="8" t="n"/>
      <c r="C1224" s="21" t="n"/>
      <c r="D1224" s="22" t="n"/>
      <c r="E1224" s="22">
        <f>IFERROR(+VLOOKUP(C1224,Master!B:C,2,0),"")</f>
        <v/>
      </c>
      <c r="F1224" s="23">
        <f>LOOKUP(2,1/((Purchase!$D$1:$D$500=C1224)*(Purchase!$A$1:$A$500&lt;=A1224)),Purchase!$G$1:$G$500)</f>
        <v/>
      </c>
      <c r="G1224" s="23">
        <f>+D1224*F1224</f>
        <v/>
      </c>
    </row>
    <row r="1225">
      <c r="A1225" s="8" t="n"/>
      <c r="B1225" s="8" t="n"/>
      <c r="C1225" s="21" t="n"/>
      <c r="D1225" s="22" t="n"/>
      <c r="E1225" s="22">
        <f>IFERROR(+VLOOKUP(C1225,Master!B:C,2,0),"")</f>
        <v/>
      </c>
      <c r="F1225" s="23">
        <f>LOOKUP(2,1/((Purchase!$D$1:$D$500=C1225)*(Purchase!$A$1:$A$500&lt;=A1225)),Purchase!$G$1:$G$500)</f>
        <v/>
      </c>
      <c r="G1225" s="23">
        <f>+D1225*F1225</f>
        <v/>
      </c>
    </row>
    <row r="1226">
      <c r="A1226" s="8" t="n"/>
      <c r="B1226" s="8" t="n"/>
      <c r="C1226" s="21" t="n"/>
      <c r="D1226" s="22" t="n"/>
      <c r="E1226" s="22">
        <f>IFERROR(+VLOOKUP(C1226,Master!B:C,2,0),"")</f>
        <v/>
      </c>
      <c r="F1226" s="23">
        <f>LOOKUP(2,1/((Purchase!$D$1:$D$500=C1226)*(Purchase!$A$1:$A$500&lt;=A1226)),Purchase!$G$1:$G$500)</f>
        <v/>
      </c>
      <c r="G1226" s="23">
        <f>+D1226*F1226</f>
        <v/>
      </c>
    </row>
    <row r="1227">
      <c r="A1227" s="8" t="n"/>
      <c r="B1227" s="8" t="n"/>
      <c r="C1227" s="21" t="n"/>
      <c r="D1227" s="22" t="n"/>
      <c r="E1227" s="22">
        <f>IFERROR(+VLOOKUP(C1227,Master!B:C,2,0),"")</f>
        <v/>
      </c>
      <c r="F1227" s="23">
        <f>LOOKUP(2,1/((Purchase!$D$1:$D$500=C1227)*(Purchase!$A$1:$A$500&lt;=A1227)),Purchase!$G$1:$G$500)</f>
        <v/>
      </c>
      <c r="G1227" s="23">
        <f>+D1227*F1227</f>
        <v/>
      </c>
    </row>
    <row r="1228">
      <c r="A1228" s="8" t="n"/>
      <c r="B1228" s="8" t="n"/>
      <c r="C1228" s="21" t="n"/>
      <c r="D1228" s="22" t="n"/>
      <c r="E1228" s="22">
        <f>IFERROR(+VLOOKUP(C1228,Master!B:C,2,0),"")</f>
        <v/>
      </c>
      <c r="F1228" s="23">
        <f>LOOKUP(2,1/((Purchase!$D$1:$D$500=C1228)*(Purchase!$A$1:$A$500&lt;=A1228)),Purchase!$G$1:$G$500)</f>
        <v/>
      </c>
      <c r="G1228" s="23">
        <f>+D1228*F1228</f>
        <v/>
      </c>
    </row>
    <row r="1229">
      <c r="A1229" s="8" t="n"/>
      <c r="B1229" s="8" t="n"/>
      <c r="C1229" s="21" t="n"/>
      <c r="D1229" s="22" t="n"/>
      <c r="E1229" s="22">
        <f>IFERROR(+VLOOKUP(C1229,Master!B:C,2,0),"")</f>
        <v/>
      </c>
      <c r="F1229" s="23">
        <f>LOOKUP(2,1/((Purchase!$D$1:$D$500=C1229)*(Purchase!$A$1:$A$500&lt;=A1229)),Purchase!$G$1:$G$500)</f>
        <v/>
      </c>
      <c r="G1229" s="23">
        <f>+D1229*F1229</f>
        <v/>
      </c>
    </row>
    <row r="1230">
      <c r="A1230" s="8" t="n"/>
      <c r="B1230" s="8" t="n"/>
      <c r="C1230" s="21" t="n"/>
      <c r="D1230" s="22" t="n"/>
      <c r="E1230" s="22">
        <f>IFERROR(+VLOOKUP(C1230,Master!B:C,2,0),"")</f>
        <v/>
      </c>
      <c r="F1230" s="23">
        <f>LOOKUP(2,1/((Purchase!$D$1:$D$500=C1230)*(Purchase!$A$1:$A$500&lt;=A1230)),Purchase!$G$1:$G$500)</f>
        <v/>
      </c>
      <c r="G1230" s="23">
        <f>+D1230*F1230</f>
        <v/>
      </c>
    </row>
    <row r="1231">
      <c r="A1231" s="8" t="n"/>
      <c r="B1231" s="8" t="n"/>
      <c r="C1231" s="21" t="n"/>
      <c r="D1231" s="22" t="n"/>
      <c r="E1231" s="22">
        <f>IFERROR(+VLOOKUP(C1231,Master!B:C,2,0),"")</f>
        <v/>
      </c>
      <c r="F1231" s="23">
        <f>LOOKUP(2,1/((Purchase!$D$1:$D$500=C1231)*(Purchase!$A$1:$A$500&lt;=A1231)),Purchase!$G$1:$G$500)</f>
        <v/>
      </c>
      <c r="G1231" s="23">
        <f>+D1231*F1231</f>
        <v/>
      </c>
    </row>
    <row r="1232">
      <c r="A1232" s="8" t="n"/>
      <c r="B1232" s="8" t="n"/>
      <c r="C1232" s="21" t="n"/>
      <c r="D1232" s="22" t="n"/>
      <c r="E1232" s="22">
        <f>IFERROR(+VLOOKUP(C1232,Master!B:C,2,0),"")</f>
        <v/>
      </c>
      <c r="F1232" s="23">
        <f>LOOKUP(2,1/((Purchase!$D$1:$D$500=C1232)*(Purchase!$A$1:$A$500&lt;=A1232)),Purchase!$G$1:$G$500)</f>
        <v/>
      </c>
      <c r="G1232" s="23">
        <f>+D1232*F1232</f>
        <v/>
      </c>
    </row>
    <row r="1233">
      <c r="A1233" s="8" t="n"/>
      <c r="B1233" s="8" t="n"/>
      <c r="C1233" s="21" t="n"/>
      <c r="D1233" s="22" t="n"/>
      <c r="E1233" s="22">
        <f>IFERROR(+VLOOKUP(C1233,Master!B:C,2,0),"")</f>
        <v/>
      </c>
      <c r="F1233" s="23">
        <f>LOOKUP(2,1/((Purchase!$D$1:$D$500=C1233)*(Purchase!$A$1:$A$500&lt;=A1233)),Purchase!$G$1:$G$500)</f>
        <v/>
      </c>
      <c r="G1233" s="23">
        <f>+D1233*F1233</f>
        <v/>
      </c>
    </row>
    <row r="1234">
      <c r="A1234" s="8" t="n"/>
      <c r="B1234" s="8" t="n"/>
      <c r="C1234" s="21" t="n"/>
      <c r="D1234" s="22" t="n"/>
      <c r="E1234" s="22">
        <f>IFERROR(+VLOOKUP(C1234,Master!B:C,2,0),"")</f>
        <v/>
      </c>
      <c r="F1234" s="23">
        <f>LOOKUP(2,1/((Purchase!$D$1:$D$500=C1234)*(Purchase!$A$1:$A$500&lt;=A1234)),Purchase!$G$1:$G$500)</f>
        <v/>
      </c>
      <c r="G1234" s="23">
        <f>+D1234*F1234</f>
        <v/>
      </c>
    </row>
    <row r="1235">
      <c r="A1235" s="8" t="n"/>
      <c r="B1235" s="8" t="n"/>
      <c r="C1235" s="21" t="n"/>
      <c r="D1235" s="22" t="n"/>
      <c r="E1235" s="22">
        <f>IFERROR(+VLOOKUP(C1235,Master!B:C,2,0),"")</f>
        <v/>
      </c>
      <c r="F1235" s="23">
        <f>LOOKUP(2,1/((Purchase!$D$1:$D$500=C1235)*(Purchase!$A$1:$A$500&lt;=A1235)),Purchase!$G$1:$G$500)</f>
        <v/>
      </c>
      <c r="G1235" s="23">
        <f>+D1235*F1235</f>
        <v/>
      </c>
    </row>
    <row r="1236">
      <c r="A1236" s="8" t="n"/>
      <c r="B1236" s="8" t="n"/>
      <c r="C1236" s="21" t="n"/>
      <c r="D1236" s="22" t="n"/>
      <c r="E1236" s="22">
        <f>IFERROR(+VLOOKUP(C1236,Master!B:C,2,0),"")</f>
        <v/>
      </c>
      <c r="F1236" s="23">
        <f>LOOKUP(2,1/((Purchase!$D$1:$D$500=C1236)*(Purchase!$A$1:$A$500&lt;=A1236)),Purchase!$G$1:$G$500)</f>
        <v/>
      </c>
      <c r="G1236" s="23">
        <f>+D1236*F1236</f>
        <v/>
      </c>
    </row>
    <row r="1237">
      <c r="A1237" s="8" t="n"/>
      <c r="B1237" s="8" t="n"/>
      <c r="C1237" s="21" t="n"/>
      <c r="D1237" s="22" t="n"/>
      <c r="E1237" s="22">
        <f>IFERROR(+VLOOKUP(C1237,Master!B:C,2,0),"")</f>
        <v/>
      </c>
      <c r="F1237" s="23">
        <f>LOOKUP(2,1/((Purchase!$D$1:$D$500=C1237)*(Purchase!$A$1:$A$500&lt;=A1237)),Purchase!$G$1:$G$500)</f>
        <v/>
      </c>
      <c r="G1237" s="23">
        <f>+D1237*F1237</f>
        <v/>
      </c>
    </row>
    <row r="1238">
      <c r="A1238" s="8" t="n"/>
      <c r="B1238" s="8" t="n"/>
      <c r="C1238" s="21" t="n"/>
      <c r="D1238" s="22" t="n"/>
      <c r="E1238" s="22">
        <f>IFERROR(+VLOOKUP(C1238,Master!B:C,2,0),"")</f>
        <v/>
      </c>
      <c r="F1238" s="23">
        <f>LOOKUP(2,1/((Purchase!$D$1:$D$500=C1238)*(Purchase!$A$1:$A$500&lt;=A1238)),Purchase!$G$1:$G$500)</f>
        <v/>
      </c>
      <c r="G1238" s="23">
        <f>+D1238*F1238</f>
        <v/>
      </c>
    </row>
    <row r="1239">
      <c r="A1239" s="8" t="n"/>
      <c r="B1239" s="8" t="n"/>
      <c r="C1239" s="21" t="n"/>
      <c r="D1239" s="22" t="n"/>
      <c r="E1239" s="22">
        <f>IFERROR(+VLOOKUP(C1239,Master!B:C,2,0),"")</f>
        <v/>
      </c>
      <c r="F1239" s="23">
        <f>LOOKUP(2,1/((Purchase!$D$1:$D$500=C1239)*(Purchase!$A$1:$A$500&lt;=A1239)),Purchase!$G$1:$G$500)</f>
        <v/>
      </c>
      <c r="G1239" s="23">
        <f>+D1239*F1239</f>
        <v/>
      </c>
    </row>
    <row r="1240">
      <c r="A1240" s="8" t="n"/>
      <c r="B1240" s="8" t="n"/>
      <c r="C1240" s="21" t="n"/>
      <c r="D1240" s="22" t="n"/>
      <c r="E1240" s="22">
        <f>IFERROR(+VLOOKUP(C1240,Master!B:C,2,0),"")</f>
        <v/>
      </c>
      <c r="F1240" s="23">
        <f>LOOKUP(2,1/((Purchase!$D$1:$D$500=C1240)*(Purchase!$A$1:$A$500&lt;=A1240)),Purchase!$G$1:$G$500)</f>
        <v/>
      </c>
      <c r="G1240" s="23">
        <f>+D1240*F1240</f>
        <v/>
      </c>
    </row>
    <row r="1241">
      <c r="A1241" s="8" t="n"/>
      <c r="B1241" s="8" t="n"/>
      <c r="C1241" s="21" t="n"/>
      <c r="D1241" s="22" t="n"/>
      <c r="E1241" s="22">
        <f>IFERROR(+VLOOKUP(C1241,Master!B:C,2,0),"")</f>
        <v/>
      </c>
      <c r="F1241" s="23">
        <f>LOOKUP(2,1/((Purchase!$D$1:$D$500=C1241)*(Purchase!$A$1:$A$500&lt;=A1241)),Purchase!$G$1:$G$500)</f>
        <v/>
      </c>
      <c r="G1241" s="23">
        <f>+D1241*F1241</f>
        <v/>
      </c>
    </row>
    <row r="1242">
      <c r="A1242" s="8" t="n"/>
      <c r="B1242" s="8" t="n"/>
      <c r="C1242" s="21" t="n"/>
      <c r="D1242" s="22" t="n"/>
      <c r="E1242" s="22">
        <f>IFERROR(+VLOOKUP(C1242,Master!B:C,2,0),"")</f>
        <v/>
      </c>
      <c r="F1242" s="23">
        <f>LOOKUP(2,1/((Purchase!$D$1:$D$500=C1242)*(Purchase!$A$1:$A$500&lt;=A1242)),Purchase!$G$1:$G$500)</f>
        <v/>
      </c>
      <c r="G1242" s="23">
        <f>+D1242*F1242</f>
        <v/>
      </c>
    </row>
    <row r="1243">
      <c r="A1243" s="8" t="n"/>
      <c r="B1243" s="8" t="n"/>
      <c r="C1243" s="21" t="n"/>
      <c r="D1243" s="22" t="n"/>
      <c r="E1243" s="22">
        <f>IFERROR(+VLOOKUP(C1243,Master!B:C,2,0),"")</f>
        <v/>
      </c>
      <c r="F1243" s="23">
        <f>LOOKUP(2,1/((Purchase!$D$1:$D$500=C1243)*(Purchase!$A$1:$A$500&lt;=A1243)),Purchase!$G$1:$G$500)</f>
        <v/>
      </c>
      <c r="G1243" s="23">
        <f>+D1243*F1243</f>
        <v/>
      </c>
    </row>
    <row r="1244">
      <c r="A1244" s="8" t="n"/>
      <c r="B1244" s="8" t="n"/>
      <c r="C1244" s="21" t="n"/>
      <c r="D1244" s="22" t="n"/>
      <c r="E1244" s="22">
        <f>IFERROR(+VLOOKUP(C1244,Master!B:C,2,0),"")</f>
        <v/>
      </c>
      <c r="F1244" s="23">
        <f>LOOKUP(2,1/((Purchase!$D$1:$D$500=C1244)*(Purchase!$A$1:$A$500&lt;=A1244)),Purchase!$G$1:$G$500)</f>
        <v/>
      </c>
      <c r="G1244" s="23">
        <f>+D1244*F1244</f>
        <v/>
      </c>
    </row>
    <row r="1245">
      <c r="A1245" s="8" t="n"/>
      <c r="B1245" s="8" t="n"/>
      <c r="C1245" s="21" t="n"/>
      <c r="D1245" s="22" t="n"/>
      <c r="E1245" s="22">
        <f>IFERROR(+VLOOKUP(C1245,Master!B:C,2,0),"")</f>
        <v/>
      </c>
      <c r="F1245" s="23">
        <f>LOOKUP(2,1/((Purchase!$D$1:$D$500=C1245)*(Purchase!$A$1:$A$500&lt;=A1245)),Purchase!$G$1:$G$500)</f>
        <v/>
      </c>
      <c r="G1245" s="23">
        <f>+D1245*F1245</f>
        <v/>
      </c>
    </row>
    <row r="1246">
      <c r="A1246" s="8" t="n"/>
      <c r="B1246" s="8" t="n"/>
      <c r="C1246" s="21" t="n"/>
      <c r="D1246" s="22" t="n"/>
      <c r="E1246" s="22">
        <f>IFERROR(+VLOOKUP(C1246,Master!B:C,2,0),"")</f>
        <v/>
      </c>
      <c r="F1246" s="23">
        <f>LOOKUP(2,1/((Purchase!$D$1:$D$500=C1246)*(Purchase!$A$1:$A$500&lt;=A1246)),Purchase!$G$1:$G$500)</f>
        <v/>
      </c>
      <c r="G1246" s="23">
        <f>+D1246*F1246</f>
        <v/>
      </c>
    </row>
    <row r="1247">
      <c r="A1247" s="8" t="n"/>
      <c r="B1247" s="8" t="n"/>
      <c r="C1247" s="21" t="n"/>
      <c r="D1247" s="22" t="n"/>
      <c r="E1247" s="22">
        <f>IFERROR(+VLOOKUP(C1247,Master!B:C,2,0),"")</f>
        <v/>
      </c>
      <c r="F1247" s="23">
        <f>LOOKUP(2,1/((Purchase!$D$1:$D$500=C1247)*(Purchase!$A$1:$A$500&lt;=A1247)),Purchase!$G$1:$G$500)</f>
        <v/>
      </c>
      <c r="G1247" s="23">
        <f>+D1247*F1247</f>
        <v/>
      </c>
    </row>
    <row r="1248">
      <c r="A1248" s="8" t="n"/>
      <c r="B1248" s="8" t="n"/>
      <c r="C1248" s="21" t="n"/>
      <c r="D1248" s="22" t="n"/>
      <c r="E1248" s="22">
        <f>IFERROR(+VLOOKUP(C1248,Master!B:C,2,0),"")</f>
        <v/>
      </c>
      <c r="F1248" s="23">
        <f>LOOKUP(2,1/((Purchase!$D$1:$D$500=C1248)*(Purchase!$A$1:$A$500&lt;=A1248)),Purchase!$G$1:$G$500)</f>
        <v/>
      </c>
      <c r="G1248" s="23">
        <f>+D1248*F1248</f>
        <v/>
      </c>
    </row>
    <row r="1249">
      <c r="A1249" s="8" t="n"/>
      <c r="B1249" s="8" t="n"/>
      <c r="C1249" s="21" t="n"/>
      <c r="D1249" s="22" t="n"/>
      <c r="E1249" s="22">
        <f>IFERROR(+VLOOKUP(C1249,Master!B:C,2,0),"")</f>
        <v/>
      </c>
      <c r="F1249" s="23">
        <f>LOOKUP(2,1/((Purchase!$D$1:$D$500=C1249)*(Purchase!$A$1:$A$500&lt;=A1249)),Purchase!$G$1:$G$500)</f>
        <v/>
      </c>
      <c r="G1249" s="23">
        <f>+D1249*F1249</f>
        <v/>
      </c>
    </row>
    <row r="1250">
      <c r="A1250" s="8" t="n"/>
      <c r="B1250" s="8" t="n"/>
      <c r="C1250" s="21" t="n"/>
      <c r="D1250" s="22" t="n"/>
      <c r="E1250" s="22">
        <f>IFERROR(+VLOOKUP(C1250,Master!B:C,2,0),"")</f>
        <v/>
      </c>
      <c r="F1250" s="23">
        <f>LOOKUP(2,1/((Purchase!$D$1:$D$500=C1250)*(Purchase!$A$1:$A$500&lt;=A1250)),Purchase!$G$1:$G$500)</f>
        <v/>
      </c>
      <c r="G1250" s="23">
        <f>+D1250*F1250</f>
        <v/>
      </c>
    </row>
    <row r="1251">
      <c r="A1251" s="8" t="n"/>
      <c r="B1251" s="8" t="n"/>
      <c r="C1251" s="21" t="n"/>
      <c r="D1251" s="22" t="n"/>
      <c r="E1251" s="22">
        <f>IFERROR(+VLOOKUP(C1251,Master!B:C,2,0),"")</f>
        <v/>
      </c>
      <c r="F1251" s="23">
        <f>LOOKUP(2,1/((Purchase!$D$1:$D$500=C1251)*(Purchase!$A$1:$A$500&lt;=A1251)),Purchase!$G$1:$G$500)</f>
        <v/>
      </c>
      <c r="G1251" s="23">
        <f>+D1251*F1251</f>
        <v/>
      </c>
    </row>
    <row r="1252">
      <c r="A1252" s="8" t="n"/>
      <c r="B1252" s="8" t="n"/>
      <c r="C1252" s="21" t="n"/>
      <c r="D1252" s="22" t="n"/>
      <c r="E1252" s="22">
        <f>IFERROR(+VLOOKUP(C1252,Master!B:C,2,0),"")</f>
        <v/>
      </c>
      <c r="F1252" s="23">
        <f>LOOKUP(2,1/((Purchase!$D$1:$D$500=C1252)*(Purchase!$A$1:$A$500&lt;=A1252)),Purchase!$G$1:$G$500)</f>
        <v/>
      </c>
      <c r="G1252" s="23">
        <f>+D1252*F1252</f>
        <v/>
      </c>
    </row>
    <row r="1253">
      <c r="A1253" s="8" t="n"/>
      <c r="B1253" s="8" t="n"/>
      <c r="C1253" s="21" t="n"/>
      <c r="D1253" s="22" t="n"/>
      <c r="E1253" s="22">
        <f>IFERROR(+VLOOKUP(C1253,Master!B:C,2,0),"")</f>
        <v/>
      </c>
      <c r="F1253" s="23">
        <f>LOOKUP(2,1/((Purchase!$D$1:$D$500=C1253)*(Purchase!$A$1:$A$500&lt;=A1253)),Purchase!$G$1:$G$500)</f>
        <v/>
      </c>
      <c r="G1253" s="23">
        <f>+D1253*F1253</f>
        <v/>
      </c>
    </row>
    <row r="1254">
      <c r="A1254" s="8" t="n"/>
      <c r="B1254" s="8" t="n"/>
      <c r="C1254" s="21" t="n"/>
      <c r="D1254" s="22" t="n"/>
      <c r="E1254" s="22">
        <f>IFERROR(+VLOOKUP(C1254,Master!B:C,2,0),"")</f>
        <v/>
      </c>
      <c r="F1254" s="23">
        <f>LOOKUP(2,1/((Purchase!$D$1:$D$500=C1254)*(Purchase!$A$1:$A$500&lt;=A1254)),Purchase!$G$1:$G$500)</f>
        <v/>
      </c>
      <c r="G1254" s="23">
        <f>+D1254*F1254</f>
        <v/>
      </c>
    </row>
    <row r="1255">
      <c r="A1255" s="8" t="n"/>
      <c r="B1255" s="8" t="n"/>
      <c r="C1255" s="21" t="n"/>
      <c r="D1255" s="22" t="n"/>
      <c r="E1255" s="22">
        <f>IFERROR(+VLOOKUP(C1255,Master!B:C,2,0),"")</f>
        <v/>
      </c>
      <c r="F1255" s="23">
        <f>LOOKUP(2,1/((Purchase!$D$1:$D$500=C1255)*(Purchase!$A$1:$A$500&lt;=A1255)),Purchase!$G$1:$G$500)</f>
        <v/>
      </c>
      <c r="G1255" s="23">
        <f>+D1255*F1255</f>
        <v/>
      </c>
    </row>
    <row r="1256">
      <c r="A1256" s="8" t="n"/>
      <c r="B1256" s="8" t="n"/>
      <c r="C1256" s="21" t="n"/>
      <c r="D1256" s="22" t="n"/>
      <c r="E1256" s="22">
        <f>IFERROR(+VLOOKUP(C1256,Master!B:C,2,0),"")</f>
        <v/>
      </c>
      <c r="F1256" s="23">
        <f>LOOKUP(2,1/((Purchase!$D$1:$D$500=C1256)*(Purchase!$A$1:$A$500&lt;=A1256)),Purchase!$G$1:$G$500)</f>
        <v/>
      </c>
      <c r="G1256" s="23">
        <f>+D1256*F1256</f>
        <v/>
      </c>
    </row>
    <row r="1257">
      <c r="A1257" s="8" t="n"/>
      <c r="B1257" s="8" t="n"/>
      <c r="C1257" s="21" t="n"/>
      <c r="D1257" s="22" t="n"/>
      <c r="E1257" s="22">
        <f>IFERROR(+VLOOKUP(C1257,Master!B:C,2,0),"")</f>
        <v/>
      </c>
      <c r="F1257" s="23">
        <f>LOOKUP(2,1/((Purchase!$D$1:$D$500=C1257)*(Purchase!$A$1:$A$500&lt;=A1257)),Purchase!$G$1:$G$500)</f>
        <v/>
      </c>
      <c r="G1257" s="23">
        <f>+D1257*F1257</f>
        <v/>
      </c>
    </row>
    <row r="1258">
      <c r="A1258" s="8" t="n"/>
      <c r="B1258" s="8" t="n"/>
      <c r="C1258" s="21" t="n"/>
      <c r="D1258" s="22" t="n"/>
      <c r="E1258" s="22">
        <f>IFERROR(+VLOOKUP(C1258,Master!B:C,2,0),"")</f>
        <v/>
      </c>
      <c r="F1258" s="23">
        <f>LOOKUP(2,1/((Purchase!$D$1:$D$500=C1258)*(Purchase!$A$1:$A$500&lt;=A1258)),Purchase!$G$1:$G$500)</f>
        <v/>
      </c>
      <c r="G1258" s="23">
        <f>+D1258*F1258</f>
        <v/>
      </c>
    </row>
    <row r="1259">
      <c r="A1259" s="8" t="n"/>
      <c r="B1259" s="8" t="n"/>
      <c r="C1259" s="21" t="n"/>
      <c r="D1259" s="22" t="n"/>
      <c r="E1259" s="22">
        <f>IFERROR(+VLOOKUP(C1259,Master!B:C,2,0),"")</f>
        <v/>
      </c>
      <c r="F1259" s="23">
        <f>LOOKUP(2,1/((Purchase!$D$1:$D$500=C1259)*(Purchase!$A$1:$A$500&lt;=A1259)),Purchase!$G$1:$G$500)</f>
        <v/>
      </c>
      <c r="G1259" s="23">
        <f>+D1259*F1259</f>
        <v/>
      </c>
    </row>
    <row r="1260">
      <c r="A1260" s="8" t="n"/>
      <c r="B1260" s="8" t="n"/>
      <c r="C1260" s="21" t="n"/>
      <c r="D1260" s="22" t="n"/>
      <c r="E1260" s="22">
        <f>IFERROR(+VLOOKUP(C1260,Master!B:C,2,0),"")</f>
        <v/>
      </c>
      <c r="F1260" s="23">
        <f>LOOKUP(2,1/((Purchase!$D$1:$D$500=C1260)*(Purchase!$A$1:$A$500&lt;=A1260)),Purchase!$G$1:$G$500)</f>
        <v/>
      </c>
      <c r="G1260" s="23">
        <f>+D1260*F1260</f>
        <v/>
      </c>
    </row>
    <row r="1261">
      <c r="A1261" s="8" t="n"/>
      <c r="B1261" s="8" t="n"/>
      <c r="C1261" s="21" t="n"/>
      <c r="D1261" s="22" t="n"/>
      <c r="E1261" s="22">
        <f>IFERROR(+VLOOKUP(C1261,Master!B:C,2,0),"")</f>
        <v/>
      </c>
      <c r="F1261" s="23">
        <f>LOOKUP(2,1/((Purchase!$D$1:$D$500=C1261)*(Purchase!$A$1:$A$500&lt;=A1261)),Purchase!$G$1:$G$500)</f>
        <v/>
      </c>
      <c r="G1261" s="23">
        <f>+D1261*F1261</f>
        <v/>
      </c>
    </row>
    <row r="1262">
      <c r="A1262" s="8" t="n"/>
      <c r="B1262" s="8" t="n"/>
      <c r="C1262" s="21" t="n"/>
      <c r="D1262" s="22" t="n"/>
      <c r="E1262" s="22">
        <f>IFERROR(+VLOOKUP(C1262,Master!B:C,2,0),"")</f>
        <v/>
      </c>
      <c r="F1262" s="23">
        <f>LOOKUP(2,1/((Purchase!$D$1:$D$500=C1262)*(Purchase!$A$1:$A$500&lt;=A1262)),Purchase!$G$1:$G$500)</f>
        <v/>
      </c>
      <c r="G1262" s="23">
        <f>+D1262*F1262</f>
        <v/>
      </c>
    </row>
    <row r="1263">
      <c r="A1263" s="8" t="n"/>
      <c r="B1263" s="8" t="n"/>
      <c r="C1263" s="21" t="n"/>
      <c r="D1263" s="22" t="n"/>
      <c r="E1263" s="22">
        <f>IFERROR(+VLOOKUP(C1263,Master!B:C,2,0),"")</f>
        <v/>
      </c>
      <c r="F1263" s="23">
        <f>LOOKUP(2,1/((Purchase!$D$1:$D$500=C1263)*(Purchase!$A$1:$A$500&lt;=A1263)),Purchase!$G$1:$G$500)</f>
        <v/>
      </c>
      <c r="G1263" s="23">
        <f>+D1263*F1263</f>
        <v/>
      </c>
    </row>
    <row r="1264">
      <c r="A1264" s="8" t="n"/>
      <c r="B1264" s="8" t="n"/>
      <c r="C1264" s="21" t="n"/>
      <c r="D1264" s="22" t="n"/>
      <c r="E1264" s="22">
        <f>IFERROR(+VLOOKUP(C1264,Master!B:C,2,0),"")</f>
        <v/>
      </c>
      <c r="F1264" s="23">
        <f>LOOKUP(2,1/((Purchase!$D$1:$D$500=C1264)*(Purchase!$A$1:$A$500&lt;=A1264)),Purchase!$G$1:$G$500)</f>
        <v/>
      </c>
      <c r="G1264" s="23">
        <f>+D1264*F1264</f>
        <v/>
      </c>
    </row>
    <row r="1265">
      <c r="A1265" s="8" t="n"/>
      <c r="B1265" s="8" t="n"/>
      <c r="C1265" s="21" t="n"/>
      <c r="D1265" s="22" t="n"/>
      <c r="E1265" s="22">
        <f>IFERROR(+VLOOKUP(C1265,Master!B:C,2,0),"")</f>
        <v/>
      </c>
      <c r="F1265" s="23">
        <f>LOOKUP(2,1/((Purchase!$D$1:$D$500=C1265)*(Purchase!$A$1:$A$500&lt;=A1265)),Purchase!$G$1:$G$500)</f>
        <v/>
      </c>
      <c r="G1265" s="23">
        <f>+D1265*F1265</f>
        <v/>
      </c>
    </row>
    <row r="1266">
      <c r="A1266" s="8" t="n"/>
      <c r="B1266" s="8" t="n"/>
      <c r="C1266" s="21" t="n"/>
      <c r="D1266" s="22" t="n"/>
      <c r="E1266" s="22">
        <f>IFERROR(+VLOOKUP(C1266,Master!B:C,2,0),"")</f>
        <v/>
      </c>
      <c r="F1266" s="23">
        <f>LOOKUP(2,1/((Purchase!$D$1:$D$500=C1266)*(Purchase!$A$1:$A$500&lt;=A1266)),Purchase!$G$1:$G$500)</f>
        <v/>
      </c>
      <c r="G1266" s="23">
        <f>+D1266*F1266</f>
        <v/>
      </c>
    </row>
    <row r="1267">
      <c r="A1267" s="8" t="n"/>
      <c r="B1267" s="8" t="n"/>
      <c r="C1267" s="21" t="n"/>
      <c r="D1267" s="22" t="n"/>
      <c r="E1267" s="22">
        <f>IFERROR(+VLOOKUP(C1267,Master!B:C,2,0),"")</f>
        <v/>
      </c>
      <c r="F1267" s="23">
        <f>LOOKUP(2,1/((Purchase!$D$1:$D$500=C1267)*(Purchase!$A$1:$A$500&lt;=A1267)),Purchase!$G$1:$G$500)</f>
        <v/>
      </c>
      <c r="G1267" s="23">
        <f>+D1267*F1267</f>
        <v/>
      </c>
    </row>
    <row r="1268">
      <c r="A1268" s="8" t="n"/>
      <c r="B1268" s="8" t="n"/>
      <c r="C1268" s="21" t="n"/>
      <c r="D1268" s="22" t="n"/>
      <c r="E1268" s="22">
        <f>IFERROR(+VLOOKUP(C1268,Master!B:C,2,0),"")</f>
        <v/>
      </c>
      <c r="F1268" s="23">
        <f>LOOKUP(2,1/((Purchase!$D$1:$D$500=C1268)*(Purchase!$A$1:$A$500&lt;=A1268)),Purchase!$G$1:$G$500)</f>
        <v/>
      </c>
      <c r="G1268" s="23">
        <f>+D1268*F1268</f>
        <v/>
      </c>
    </row>
    <row r="1269">
      <c r="A1269" s="8" t="n"/>
      <c r="B1269" s="8" t="n"/>
      <c r="C1269" s="21" t="n"/>
      <c r="D1269" s="22" t="n"/>
      <c r="E1269" s="22">
        <f>IFERROR(+VLOOKUP(C1269,Master!B:C,2,0),"")</f>
        <v/>
      </c>
      <c r="F1269" s="23">
        <f>LOOKUP(2,1/((Purchase!$D$1:$D$500=C1269)*(Purchase!$A$1:$A$500&lt;=A1269)),Purchase!$G$1:$G$500)</f>
        <v/>
      </c>
      <c r="G1269" s="23">
        <f>+D1269*F1269</f>
        <v/>
      </c>
    </row>
    <row r="1270">
      <c r="A1270" s="8" t="n"/>
      <c r="B1270" s="8" t="n"/>
      <c r="C1270" s="21" t="n"/>
      <c r="D1270" s="22" t="n"/>
      <c r="E1270" s="22">
        <f>IFERROR(+VLOOKUP(C1270,Master!B:C,2,0),"")</f>
        <v/>
      </c>
      <c r="F1270" s="23">
        <f>LOOKUP(2,1/((Purchase!$D$1:$D$500=C1270)*(Purchase!$A$1:$A$500&lt;=A1270)),Purchase!$G$1:$G$500)</f>
        <v/>
      </c>
      <c r="G1270" s="23">
        <f>+D1270*F1270</f>
        <v/>
      </c>
    </row>
    <row r="1271">
      <c r="A1271" s="8" t="n"/>
      <c r="B1271" s="8" t="n"/>
      <c r="C1271" s="21" t="n"/>
      <c r="D1271" s="22" t="n"/>
      <c r="E1271" s="22">
        <f>IFERROR(+VLOOKUP(C1271,Master!B:C,2,0),"")</f>
        <v/>
      </c>
      <c r="F1271" s="23">
        <f>LOOKUP(2,1/((Purchase!$D$1:$D$500=C1271)*(Purchase!$A$1:$A$500&lt;=A1271)),Purchase!$G$1:$G$500)</f>
        <v/>
      </c>
      <c r="G1271" s="23">
        <f>+D1271*F1271</f>
        <v/>
      </c>
    </row>
    <row r="1272">
      <c r="A1272" s="8" t="n"/>
      <c r="B1272" s="8" t="n"/>
      <c r="C1272" s="21" t="n"/>
      <c r="D1272" s="22" t="n"/>
      <c r="E1272" s="22">
        <f>IFERROR(+VLOOKUP(C1272,Master!B:C,2,0),"")</f>
        <v/>
      </c>
      <c r="F1272" s="23">
        <f>LOOKUP(2,1/((Purchase!$D$1:$D$500=C1272)*(Purchase!$A$1:$A$500&lt;=A1272)),Purchase!$G$1:$G$500)</f>
        <v/>
      </c>
      <c r="G1272" s="23">
        <f>+D1272*F1272</f>
        <v/>
      </c>
    </row>
    <row r="1273">
      <c r="A1273" s="8" t="n"/>
      <c r="B1273" s="8" t="n"/>
      <c r="C1273" s="21" t="n"/>
      <c r="D1273" s="22" t="n"/>
      <c r="E1273" s="22">
        <f>IFERROR(+VLOOKUP(C1273,Master!B:C,2,0),"")</f>
        <v/>
      </c>
      <c r="F1273" s="23">
        <f>LOOKUP(2,1/((Purchase!$D$1:$D$500=C1273)*(Purchase!$A$1:$A$500&lt;=A1273)),Purchase!$G$1:$G$500)</f>
        <v/>
      </c>
      <c r="G1273" s="23">
        <f>+D1273*F1273</f>
        <v/>
      </c>
    </row>
    <row r="1274">
      <c r="A1274" s="8" t="n"/>
      <c r="B1274" s="8" t="n"/>
      <c r="C1274" s="21" t="n"/>
      <c r="D1274" s="22" t="n"/>
      <c r="E1274" s="22">
        <f>IFERROR(+VLOOKUP(C1274,Master!B:C,2,0),"")</f>
        <v/>
      </c>
      <c r="F1274" s="23">
        <f>LOOKUP(2,1/((Purchase!$D$1:$D$500=C1274)*(Purchase!$A$1:$A$500&lt;=A1274)),Purchase!$G$1:$G$500)</f>
        <v/>
      </c>
      <c r="G1274" s="23">
        <f>+D1274*F1274</f>
        <v/>
      </c>
    </row>
    <row r="1275">
      <c r="A1275" s="8" t="n"/>
      <c r="B1275" s="8" t="n"/>
      <c r="C1275" s="21" t="n"/>
      <c r="D1275" s="22" t="n"/>
      <c r="E1275" s="22">
        <f>IFERROR(+VLOOKUP(C1275,Master!B:C,2,0),"")</f>
        <v/>
      </c>
      <c r="F1275" s="23">
        <f>LOOKUP(2,1/((Purchase!$D$1:$D$500=C1275)*(Purchase!$A$1:$A$500&lt;=A1275)),Purchase!$G$1:$G$500)</f>
        <v/>
      </c>
      <c r="G1275" s="23">
        <f>+D1275*F1275</f>
        <v/>
      </c>
    </row>
    <row r="1276">
      <c r="A1276" s="8" t="n"/>
      <c r="B1276" s="8" t="n"/>
      <c r="C1276" s="21" t="n"/>
      <c r="D1276" s="22" t="n"/>
      <c r="E1276" s="22">
        <f>IFERROR(+VLOOKUP(C1276,Master!B:C,2,0),"")</f>
        <v/>
      </c>
      <c r="F1276" s="23">
        <f>LOOKUP(2,1/((Purchase!$D$1:$D$500=C1276)*(Purchase!$A$1:$A$500&lt;=A1276)),Purchase!$G$1:$G$500)</f>
        <v/>
      </c>
      <c r="G1276" s="23">
        <f>+D1276*F1276</f>
        <v/>
      </c>
    </row>
    <row r="1277">
      <c r="A1277" s="8" t="n"/>
      <c r="B1277" s="8" t="n"/>
      <c r="C1277" s="21" t="n"/>
      <c r="D1277" s="22" t="n"/>
      <c r="E1277" s="22">
        <f>IFERROR(+VLOOKUP(C1277,Master!B:C,2,0),"")</f>
        <v/>
      </c>
      <c r="F1277" s="23">
        <f>LOOKUP(2,1/((Purchase!$D$1:$D$500=C1277)*(Purchase!$A$1:$A$500&lt;=A1277)),Purchase!$G$1:$G$500)</f>
        <v/>
      </c>
      <c r="G1277" s="23">
        <f>+D1277*F1277</f>
        <v/>
      </c>
    </row>
    <row r="1278">
      <c r="A1278" s="8" t="n"/>
      <c r="B1278" s="8" t="n"/>
      <c r="C1278" s="21" t="n"/>
      <c r="D1278" s="22" t="n"/>
      <c r="E1278" s="22">
        <f>IFERROR(+VLOOKUP(C1278,Master!B:C,2,0),"")</f>
        <v/>
      </c>
      <c r="F1278" s="23">
        <f>LOOKUP(2,1/((Purchase!$D$1:$D$500=C1278)*(Purchase!$A$1:$A$500&lt;=A1278)),Purchase!$G$1:$G$500)</f>
        <v/>
      </c>
      <c r="G1278" s="23">
        <f>+D1278*F1278</f>
        <v/>
      </c>
    </row>
    <row r="1279">
      <c r="A1279" s="8" t="n"/>
      <c r="B1279" s="8" t="n"/>
      <c r="C1279" s="21" t="n"/>
      <c r="D1279" s="22" t="n"/>
      <c r="E1279" s="22">
        <f>IFERROR(+VLOOKUP(C1279,Master!B:C,2,0),"")</f>
        <v/>
      </c>
      <c r="F1279" s="23">
        <f>LOOKUP(2,1/((Purchase!$D$1:$D$500=C1279)*(Purchase!$A$1:$A$500&lt;=A1279)),Purchase!$G$1:$G$500)</f>
        <v/>
      </c>
      <c r="G1279" s="23">
        <f>+D1279*F1279</f>
        <v/>
      </c>
    </row>
    <row r="1280">
      <c r="A1280" s="8" t="n"/>
      <c r="B1280" s="8" t="n"/>
      <c r="C1280" s="21" t="n"/>
      <c r="D1280" s="22" t="n"/>
      <c r="E1280" s="22">
        <f>IFERROR(+VLOOKUP(C1280,Master!B:C,2,0),"")</f>
        <v/>
      </c>
      <c r="F1280" s="23">
        <f>LOOKUP(2,1/((Purchase!$D$1:$D$500=C1280)*(Purchase!$A$1:$A$500&lt;=A1280)),Purchase!$G$1:$G$500)</f>
        <v/>
      </c>
      <c r="G1280" s="23">
        <f>+D1280*F1280</f>
        <v/>
      </c>
    </row>
    <row r="1281">
      <c r="A1281" s="8" t="n"/>
      <c r="B1281" s="8" t="n"/>
      <c r="C1281" s="21" t="n"/>
      <c r="D1281" s="22" t="n"/>
      <c r="E1281" s="22">
        <f>IFERROR(+VLOOKUP(C1281,Master!B:C,2,0),"")</f>
        <v/>
      </c>
      <c r="F1281" s="23">
        <f>LOOKUP(2,1/((Purchase!$D$1:$D$500=C1281)*(Purchase!$A$1:$A$500&lt;=A1281)),Purchase!$G$1:$G$500)</f>
        <v/>
      </c>
      <c r="G1281" s="23">
        <f>+D1281*F1281</f>
        <v/>
      </c>
    </row>
    <row r="1282">
      <c r="A1282" s="8" t="n"/>
      <c r="B1282" s="8" t="n"/>
      <c r="C1282" s="21" t="n"/>
      <c r="D1282" s="22" t="n"/>
      <c r="E1282" s="22">
        <f>IFERROR(+VLOOKUP(C1282,Master!B:C,2,0),"")</f>
        <v/>
      </c>
      <c r="F1282" s="23">
        <f>LOOKUP(2,1/((Purchase!$D$1:$D$500=C1282)*(Purchase!$A$1:$A$500&lt;=A1282)),Purchase!$G$1:$G$500)</f>
        <v/>
      </c>
      <c r="G1282" s="23">
        <f>+D1282*F1282</f>
        <v/>
      </c>
    </row>
    <row r="1283">
      <c r="A1283" s="8" t="n"/>
      <c r="B1283" s="8" t="n"/>
      <c r="C1283" s="21" t="n"/>
      <c r="D1283" s="22" t="n"/>
      <c r="E1283" s="22">
        <f>IFERROR(+VLOOKUP(C1283,Master!B:C,2,0),"")</f>
        <v/>
      </c>
      <c r="F1283" s="23">
        <f>LOOKUP(2,1/((Purchase!$D$1:$D$500=C1283)*(Purchase!$A$1:$A$500&lt;=A1283)),Purchase!$G$1:$G$500)</f>
        <v/>
      </c>
      <c r="G1283" s="23">
        <f>+D1283*F1283</f>
        <v/>
      </c>
    </row>
    <row r="1284">
      <c r="A1284" s="8" t="n"/>
      <c r="B1284" s="8" t="n"/>
      <c r="C1284" s="21" t="n"/>
      <c r="D1284" s="22" t="n"/>
      <c r="E1284" s="22">
        <f>IFERROR(+VLOOKUP(C1284,Master!B:C,2,0),"")</f>
        <v/>
      </c>
      <c r="F1284" s="23">
        <f>LOOKUP(2,1/((Purchase!$D$1:$D$500=C1284)*(Purchase!$A$1:$A$500&lt;=A1284)),Purchase!$G$1:$G$500)</f>
        <v/>
      </c>
      <c r="G1284" s="23">
        <f>+D1284*F1284</f>
        <v/>
      </c>
    </row>
    <row r="1285">
      <c r="A1285" s="8" t="n"/>
      <c r="B1285" s="8" t="n"/>
      <c r="C1285" s="21" t="n"/>
      <c r="D1285" s="22" t="n"/>
      <c r="E1285" s="22">
        <f>IFERROR(+VLOOKUP(C1285,Master!B:C,2,0),"")</f>
        <v/>
      </c>
      <c r="F1285" s="23">
        <f>LOOKUP(2,1/((Purchase!$D$1:$D$500=C1285)*(Purchase!$A$1:$A$500&lt;=A1285)),Purchase!$G$1:$G$500)</f>
        <v/>
      </c>
      <c r="G1285" s="23">
        <f>+D1285*F1285</f>
        <v/>
      </c>
    </row>
    <row r="1286">
      <c r="A1286" s="8" t="n"/>
      <c r="B1286" s="8" t="n"/>
      <c r="C1286" s="21" t="n"/>
      <c r="D1286" s="22" t="n"/>
      <c r="E1286" s="22">
        <f>IFERROR(+VLOOKUP(C1286,Master!B:C,2,0),"")</f>
        <v/>
      </c>
      <c r="F1286" s="23">
        <f>LOOKUP(2,1/((Purchase!$D$1:$D$500=C1286)*(Purchase!$A$1:$A$500&lt;=A1286)),Purchase!$G$1:$G$500)</f>
        <v/>
      </c>
      <c r="G1286" s="23">
        <f>+D1286*F1286</f>
        <v/>
      </c>
    </row>
    <row r="1287">
      <c r="A1287" s="8" t="n"/>
      <c r="B1287" s="8" t="n"/>
      <c r="C1287" s="21" t="n"/>
      <c r="D1287" s="22" t="n"/>
      <c r="E1287" s="22">
        <f>IFERROR(+VLOOKUP(C1287,Master!B:C,2,0),"")</f>
        <v/>
      </c>
      <c r="F1287" s="23">
        <f>LOOKUP(2,1/((Purchase!$D$1:$D$500=C1287)*(Purchase!$A$1:$A$500&lt;=A1287)),Purchase!$G$1:$G$500)</f>
        <v/>
      </c>
      <c r="G1287" s="23">
        <f>+D1287*F1287</f>
        <v/>
      </c>
    </row>
    <row r="1288">
      <c r="A1288" s="8" t="n"/>
      <c r="B1288" s="8" t="n"/>
      <c r="C1288" s="21" t="n"/>
      <c r="D1288" s="22" t="n"/>
      <c r="E1288" s="22">
        <f>IFERROR(+VLOOKUP(C1288,Master!B:C,2,0),"")</f>
        <v/>
      </c>
      <c r="F1288" s="23">
        <f>LOOKUP(2,1/((Purchase!$D$1:$D$500=C1288)*(Purchase!$A$1:$A$500&lt;=A1288)),Purchase!$G$1:$G$500)</f>
        <v/>
      </c>
      <c r="G1288" s="23">
        <f>+D1288*F1288</f>
        <v/>
      </c>
    </row>
    <row r="1289">
      <c r="A1289" s="8" t="n"/>
      <c r="B1289" s="8" t="n"/>
      <c r="C1289" s="21" t="n"/>
      <c r="D1289" s="22" t="n"/>
      <c r="E1289" s="22">
        <f>IFERROR(+VLOOKUP(C1289,Master!B:C,2,0),"")</f>
        <v/>
      </c>
      <c r="F1289" s="23">
        <f>LOOKUP(2,1/((Purchase!$D$1:$D$500=C1289)*(Purchase!$A$1:$A$500&lt;=A1289)),Purchase!$G$1:$G$500)</f>
        <v/>
      </c>
      <c r="G1289" s="23">
        <f>+D1289*F1289</f>
        <v/>
      </c>
    </row>
    <row r="1290">
      <c r="A1290" s="8" t="n"/>
      <c r="B1290" s="8" t="n"/>
      <c r="C1290" s="21" t="n"/>
      <c r="D1290" s="22" t="n"/>
      <c r="E1290" s="22">
        <f>IFERROR(+VLOOKUP(C1290,Master!B:C,2,0),"")</f>
        <v/>
      </c>
      <c r="F1290" s="23">
        <f>LOOKUP(2,1/((Purchase!$D$1:$D$500=C1290)*(Purchase!$A$1:$A$500&lt;=A1290)),Purchase!$G$1:$G$500)</f>
        <v/>
      </c>
      <c r="G1290" s="23">
        <f>+D1290*F1290</f>
        <v/>
      </c>
    </row>
    <row r="1291">
      <c r="A1291" s="8" t="n"/>
      <c r="B1291" s="8" t="n"/>
      <c r="C1291" s="21" t="n"/>
      <c r="D1291" s="22" t="n"/>
      <c r="E1291" s="22">
        <f>IFERROR(+VLOOKUP(C1291,Master!B:C,2,0),"")</f>
        <v/>
      </c>
      <c r="F1291" s="23">
        <f>LOOKUP(2,1/((Purchase!$D$1:$D$500=C1291)*(Purchase!$A$1:$A$500&lt;=A1291)),Purchase!$G$1:$G$500)</f>
        <v/>
      </c>
      <c r="G1291" s="23">
        <f>+D1291*F1291</f>
        <v/>
      </c>
    </row>
    <row r="1292">
      <c r="A1292" s="8" t="n"/>
      <c r="B1292" s="8" t="n"/>
      <c r="C1292" s="21" t="n"/>
      <c r="D1292" s="22" t="n"/>
      <c r="E1292" s="22">
        <f>IFERROR(+VLOOKUP(C1292,Master!B:C,2,0),"")</f>
        <v/>
      </c>
      <c r="F1292" s="23">
        <f>LOOKUP(2,1/((Purchase!$D$1:$D$500=C1292)*(Purchase!$A$1:$A$500&lt;=A1292)),Purchase!$G$1:$G$500)</f>
        <v/>
      </c>
      <c r="G1292" s="23">
        <f>+D1292*F1292</f>
        <v/>
      </c>
    </row>
    <row r="1293">
      <c r="A1293" s="8" t="n"/>
      <c r="B1293" s="8" t="n"/>
      <c r="C1293" s="21" t="n"/>
      <c r="D1293" s="22" t="n"/>
      <c r="E1293" s="22">
        <f>IFERROR(+VLOOKUP(C1293,Master!B:C,2,0),"")</f>
        <v/>
      </c>
      <c r="F1293" s="23">
        <f>LOOKUP(2,1/((Purchase!$D$1:$D$500=C1293)*(Purchase!$A$1:$A$500&lt;=A1293)),Purchase!$G$1:$G$500)</f>
        <v/>
      </c>
      <c r="G1293" s="23">
        <f>+D1293*F1293</f>
        <v/>
      </c>
    </row>
    <row r="1294">
      <c r="A1294" s="8" t="n"/>
      <c r="B1294" s="8" t="n"/>
      <c r="C1294" s="21" t="n"/>
      <c r="D1294" s="22" t="n"/>
      <c r="E1294" s="22">
        <f>IFERROR(+VLOOKUP(C1294,Master!B:C,2,0),"")</f>
        <v/>
      </c>
      <c r="F1294" s="23">
        <f>LOOKUP(2,1/((Purchase!$D$1:$D$500=C1294)*(Purchase!$A$1:$A$500&lt;=A1294)),Purchase!$G$1:$G$500)</f>
        <v/>
      </c>
      <c r="G1294" s="23">
        <f>+D1294*F1294</f>
        <v/>
      </c>
    </row>
    <row r="1295">
      <c r="A1295" s="8" t="n"/>
      <c r="B1295" s="8" t="n"/>
      <c r="C1295" s="21" t="n"/>
      <c r="D1295" s="22" t="n"/>
      <c r="E1295" s="22">
        <f>IFERROR(+VLOOKUP(C1295,Master!B:C,2,0),"")</f>
        <v/>
      </c>
      <c r="F1295" s="23">
        <f>LOOKUP(2,1/((Purchase!$D$1:$D$500=C1295)*(Purchase!$A$1:$A$500&lt;=A1295)),Purchase!$G$1:$G$500)</f>
        <v/>
      </c>
      <c r="G1295" s="23">
        <f>+D1295*F1295</f>
        <v/>
      </c>
    </row>
    <row r="1296">
      <c r="A1296" s="8" t="n"/>
      <c r="B1296" s="8" t="n"/>
      <c r="C1296" s="21" t="n"/>
      <c r="D1296" s="22" t="n"/>
      <c r="E1296" s="22">
        <f>IFERROR(+VLOOKUP(C1296,Master!B:C,2,0),"")</f>
        <v/>
      </c>
      <c r="F1296" s="23">
        <f>LOOKUP(2,1/((Purchase!$D$1:$D$500=C1296)*(Purchase!$A$1:$A$500&lt;=A1296)),Purchase!$G$1:$G$500)</f>
        <v/>
      </c>
      <c r="G1296" s="23">
        <f>+D1296*F1296</f>
        <v/>
      </c>
    </row>
    <row r="1297">
      <c r="A1297" s="8" t="n"/>
      <c r="B1297" s="8" t="n"/>
      <c r="C1297" s="21" t="n"/>
      <c r="D1297" s="22" t="n"/>
      <c r="E1297" s="22">
        <f>IFERROR(+VLOOKUP(C1297,Master!B:C,2,0),"")</f>
        <v/>
      </c>
      <c r="F1297" s="23">
        <f>LOOKUP(2,1/((Purchase!$D$1:$D$500=C1297)*(Purchase!$A$1:$A$500&lt;=A1297)),Purchase!$G$1:$G$500)</f>
        <v/>
      </c>
      <c r="G1297" s="23">
        <f>+D1297*F1297</f>
        <v/>
      </c>
    </row>
    <row r="1298">
      <c r="A1298" s="8" t="n"/>
      <c r="B1298" s="8" t="n"/>
      <c r="C1298" s="21" t="n"/>
      <c r="D1298" s="22" t="n"/>
      <c r="E1298" s="22">
        <f>IFERROR(+VLOOKUP(C1298,Master!B:C,2,0),"")</f>
        <v/>
      </c>
      <c r="F1298" s="23">
        <f>LOOKUP(2,1/((Purchase!$D$1:$D$500=C1298)*(Purchase!$A$1:$A$500&lt;=A1298)),Purchase!$G$1:$G$500)</f>
        <v/>
      </c>
      <c r="G1298" s="23">
        <f>+D1298*F1298</f>
        <v/>
      </c>
    </row>
    <row r="1299">
      <c r="A1299" s="8" t="n"/>
      <c r="B1299" s="8" t="n"/>
      <c r="C1299" s="21" t="n"/>
      <c r="D1299" s="22" t="n"/>
      <c r="E1299" s="22">
        <f>IFERROR(+VLOOKUP(C1299,Master!B:C,2,0),"")</f>
        <v/>
      </c>
      <c r="F1299" s="23">
        <f>LOOKUP(2,1/((Purchase!$D$1:$D$500=C1299)*(Purchase!$A$1:$A$500&lt;=A1299)),Purchase!$G$1:$G$500)</f>
        <v/>
      </c>
      <c r="G1299" s="23">
        <f>+D1299*F1299</f>
        <v/>
      </c>
    </row>
    <row r="1300">
      <c r="A1300" s="8" t="n"/>
      <c r="B1300" s="8" t="n"/>
      <c r="C1300" s="21" t="n"/>
      <c r="D1300" s="22" t="n"/>
      <c r="E1300" s="22">
        <f>IFERROR(+VLOOKUP(C1300,Master!B:C,2,0),"")</f>
        <v/>
      </c>
      <c r="F1300" s="23">
        <f>LOOKUP(2,1/((Purchase!$D$1:$D$500=C1300)*(Purchase!$A$1:$A$500&lt;=A1300)),Purchase!$G$1:$G$500)</f>
        <v/>
      </c>
      <c r="G1300" s="23">
        <f>+D1300*F1300</f>
        <v/>
      </c>
    </row>
    <row r="1301">
      <c r="A1301" s="8" t="n"/>
      <c r="B1301" s="8" t="n"/>
      <c r="C1301" s="21" t="n"/>
      <c r="D1301" s="22" t="n"/>
      <c r="E1301" s="22">
        <f>IFERROR(+VLOOKUP(C1301,Master!B:C,2,0),"")</f>
        <v/>
      </c>
      <c r="F1301" s="23">
        <f>LOOKUP(2,1/((Purchase!$D$1:$D$500=C1301)*(Purchase!$A$1:$A$500&lt;=A1301)),Purchase!$G$1:$G$500)</f>
        <v/>
      </c>
      <c r="G1301" s="23">
        <f>+D1301*F1301</f>
        <v/>
      </c>
    </row>
    <row r="1302">
      <c r="A1302" s="8" t="n"/>
      <c r="B1302" s="8" t="n"/>
      <c r="C1302" s="21" t="n"/>
      <c r="D1302" s="22" t="n"/>
      <c r="E1302" s="22">
        <f>IFERROR(+VLOOKUP(C1302,Master!B:C,2,0),"")</f>
        <v/>
      </c>
      <c r="F1302" s="23">
        <f>LOOKUP(2,1/((Purchase!$D$1:$D$500=C1302)*(Purchase!$A$1:$A$500&lt;=A1302)),Purchase!$G$1:$G$500)</f>
        <v/>
      </c>
      <c r="G1302" s="23">
        <f>+D1302*F1302</f>
        <v/>
      </c>
    </row>
    <row r="1303">
      <c r="A1303" s="8" t="n"/>
      <c r="B1303" s="8" t="n"/>
      <c r="C1303" s="21" t="n"/>
      <c r="D1303" s="22" t="n"/>
      <c r="E1303" s="22">
        <f>IFERROR(+VLOOKUP(C1303,Master!B:C,2,0),"")</f>
        <v/>
      </c>
      <c r="F1303" s="23">
        <f>LOOKUP(2,1/((Purchase!$D$1:$D$500=C1303)*(Purchase!$A$1:$A$500&lt;=A1303)),Purchase!$G$1:$G$500)</f>
        <v/>
      </c>
      <c r="G1303" s="23">
        <f>+D1303*F1303</f>
        <v/>
      </c>
    </row>
    <row r="1304">
      <c r="A1304" s="8" t="n"/>
      <c r="B1304" s="8" t="n"/>
      <c r="C1304" s="21" t="n"/>
      <c r="D1304" s="22" t="n"/>
      <c r="E1304" s="22">
        <f>IFERROR(+VLOOKUP(C1304,Master!B:C,2,0),"")</f>
        <v/>
      </c>
      <c r="F1304" s="23">
        <f>LOOKUP(2,1/((Purchase!$D$1:$D$500=C1304)*(Purchase!$A$1:$A$500&lt;=A1304)),Purchase!$G$1:$G$500)</f>
        <v/>
      </c>
      <c r="G1304" s="23">
        <f>+D1304*F1304</f>
        <v/>
      </c>
    </row>
    <row r="1305">
      <c r="A1305" s="8" t="n"/>
      <c r="B1305" s="8" t="n"/>
      <c r="C1305" s="21" t="n"/>
      <c r="D1305" s="22" t="n"/>
      <c r="E1305" s="22">
        <f>IFERROR(+VLOOKUP(C1305,Master!B:C,2,0),"")</f>
        <v/>
      </c>
      <c r="F1305" s="23">
        <f>LOOKUP(2,1/((Purchase!$D$1:$D$500=C1305)*(Purchase!$A$1:$A$500&lt;=A1305)),Purchase!$G$1:$G$500)</f>
        <v/>
      </c>
      <c r="G1305" s="23">
        <f>+D1305*F1305</f>
        <v/>
      </c>
    </row>
    <row r="1306">
      <c r="A1306" s="8" t="n"/>
      <c r="B1306" s="8" t="n"/>
      <c r="C1306" s="21" t="n"/>
      <c r="D1306" s="22" t="n"/>
      <c r="E1306" s="22">
        <f>IFERROR(+VLOOKUP(C1306,Master!B:C,2,0),"")</f>
        <v/>
      </c>
      <c r="F1306" s="23">
        <f>LOOKUP(2,1/((Purchase!$D$1:$D$500=C1306)*(Purchase!$A$1:$A$500&lt;=A1306)),Purchase!$G$1:$G$500)</f>
        <v/>
      </c>
      <c r="G1306" s="23">
        <f>+D1306*F1306</f>
        <v/>
      </c>
    </row>
    <row r="1307">
      <c r="A1307" s="8" t="n"/>
      <c r="B1307" s="8" t="n"/>
      <c r="C1307" s="21" t="n"/>
      <c r="D1307" s="22" t="n"/>
      <c r="E1307" s="22">
        <f>IFERROR(+VLOOKUP(C1307,Master!B:C,2,0),"")</f>
        <v/>
      </c>
      <c r="F1307" s="23">
        <f>LOOKUP(2,1/((Purchase!$D$1:$D$500=C1307)*(Purchase!$A$1:$A$500&lt;=A1307)),Purchase!$G$1:$G$500)</f>
        <v/>
      </c>
      <c r="G1307" s="23">
        <f>+D1307*F1307</f>
        <v/>
      </c>
    </row>
    <row r="1308">
      <c r="A1308" s="8" t="n"/>
      <c r="B1308" s="8" t="n"/>
      <c r="C1308" s="21" t="n"/>
      <c r="D1308" s="22" t="n"/>
      <c r="E1308" s="22">
        <f>IFERROR(+VLOOKUP(C1308,Master!B:C,2,0),"")</f>
        <v/>
      </c>
      <c r="F1308" s="23">
        <f>LOOKUP(2,1/((Purchase!$D$1:$D$500=C1308)*(Purchase!$A$1:$A$500&lt;=A1308)),Purchase!$G$1:$G$500)</f>
        <v/>
      </c>
      <c r="G1308" s="23">
        <f>+D1308*F1308</f>
        <v/>
      </c>
    </row>
    <row r="1309">
      <c r="A1309" s="8" t="n"/>
      <c r="B1309" s="8" t="n"/>
      <c r="C1309" s="21" t="n"/>
      <c r="D1309" s="22" t="n"/>
      <c r="E1309" s="22">
        <f>IFERROR(+VLOOKUP(C1309,Master!B:C,2,0),"")</f>
        <v/>
      </c>
      <c r="F1309" s="23">
        <f>LOOKUP(2,1/((Purchase!$D$1:$D$500=C1309)*(Purchase!$A$1:$A$500&lt;=A1309)),Purchase!$G$1:$G$500)</f>
        <v/>
      </c>
      <c r="G1309" s="23">
        <f>+D1309*F1309</f>
        <v/>
      </c>
    </row>
    <row r="1310">
      <c r="A1310" s="8" t="n"/>
      <c r="B1310" s="8" t="n"/>
      <c r="C1310" s="21" t="n"/>
      <c r="D1310" s="22" t="n"/>
      <c r="E1310" s="22">
        <f>IFERROR(+VLOOKUP(C1310,Master!B:C,2,0),"")</f>
        <v/>
      </c>
      <c r="F1310" s="23">
        <f>LOOKUP(2,1/((Purchase!$D$1:$D$500=C1310)*(Purchase!$A$1:$A$500&lt;=A1310)),Purchase!$G$1:$G$500)</f>
        <v/>
      </c>
      <c r="G1310" s="23">
        <f>+D1310*F1310</f>
        <v/>
      </c>
    </row>
    <row r="1311">
      <c r="A1311" s="8" t="n"/>
      <c r="B1311" s="8" t="n"/>
      <c r="C1311" s="21" t="n"/>
      <c r="D1311" s="22" t="n"/>
      <c r="E1311" s="22">
        <f>IFERROR(+VLOOKUP(C1311,Master!B:C,2,0),"")</f>
        <v/>
      </c>
      <c r="F1311" s="23">
        <f>LOOKUP(2,1/((Purchase!$D$1:$D$500=C1311)*(Purchase!$A$1:$A$500&lt;=A1311)),Purchase!$G$1:$G$500)</f>
        <v/>
      </c>
      <c r="G1311" s="23">
        <f>+D1311*F1311</f>
        <v/>
      </c>
    </row>
    <row r="1312">
      <c r="A1312" s="8" t="n"/>
      <c r="B1312" s="8" t="n"/>
      <c r="C1312" s="21" t="n"/>
      <c r="D1312" s="22" t="n"/>
      <c r="E1312" s="22">
        <f>IFERROR(+VLOOKUP(C1312,Master!B:C,2,0),"")</f>
        <v/>
      </c>
      <c r="F1312" s="23">
        <f>LOOKUP(2,1/((Purchase!$D$1:$D$500=C1312)*(Purchase!$A$1:$A$500&lt;=A1312)),Purchase!$G$1:$G$500)</f>
        <v/>
      </c>
      <c r="G1312" s="23">
        <f>+D1312*F1312</f>
        <v/>
      </c>
    </row>
    <row r="1313">
      <c r="A1313" s="8" t="n"/>
      <c r="B1313" s="8" t="n"/>
      <c r="C1313" s="21" t="n"/>
      <c r="D1313" s="22" t="n"/>
      <c r="E1313" s="22">
        <f>IFERROR(+VLOOKUP(C1313,Master!B:C,2,0),"")</f>
        <v/>
      </c>
      <c r="F1313" s="23">
        <f>LOOKUP(2,1/((Purchase!$D$1:$D$500=C1313)*(Purchase!$A$1:$A$500&lt;=A1313)),Purchase!$G$1:$G$500)</f>
        <v/>
      </c>
      <c r="G1313" s="23">
        <f>+D1313*F1313</f>
        <v/>
      </c>
    </row>
    <row r="1314">
      <c r="A1314" s="8" t="n"/>
      <c r="B1314" s="8" t="n"/>
      <c r="C1314" s="21" t="n"/>
      <c r="D1314" s="22" t="n"/>
      <c r="E1314" s="22">
        <f>IFERROR(+VLOOKUP(C1314,Master!B:C,2,0),"")</f>
        <v/>
      </c>
      <c r="F1314" s="23">
        <f>LOOKUP(2,1/((Purchase!$D$1:$D$500=C1314)*(Purchase!$A$1:$A$500&lt;=A1314)),Purchase!$G$1:$G$500)</f>
        <v/>
      </c>
      <c r="G1314" s="23">
        <f>+D1314*F1314</f>
        <v/>
      </c>
    </row>
    <row r="1315">
      <c r="A1315" s="8" t="n"/>
      <c r="B1315" s="8" t="n"/>
      <c r="C1315" s="21" t="n"/>
      <c r="D1315" s="22" t="n"/>
      <c r="E1315" s="22">
        <f>IFERROR(+VLOOKUP(C1315,Master!B:C,2,0),"")</f>
        <v/>
      </c>
      <c r="F1315" s="23">
        <f>LOOKUP(2,1/((Purchase!$D$1:$D$500=C1315)*(Purchase!$A$1:$A$500&lt;=A1315)),Purchase!$G$1:$G$500)</f>
        <v/>
      </c>
      <c r="G1315" s="23">
        <f>+D1315*F1315</f>
        <v/>
      </c>
    </row>
    <row r="1316">
      <c r="A1316" s="8" t="n"/>
      <c r="B1316" s="8" t="n"/>
      <c r="C1316" s="21" t="n"/>
      <c r="D1316" s="22" t="n"/>
      <c r="E1316" s="22">
        <f>IFERROR(+VLOOKUP(C1316,Master!B:C,2,0),"")</f>
        <v/>
      </c>
      <c r="F1316" s="23">
        <f>LOOKUP(2,1/((Purchase!$D$1:$D$500=C1316)*(Purchase!$A$1:$A$500&lt;=A1316)),Purchase!$G$1:$G$500)</f>
        <v/>
      </c>
      <c r="G1316" s="23">
        <f>+D1316*F1316</f>
        <v/>
      </c>
    </row>
    <row r="1317">
      <c r="A1317" s="8" t="n"/>
      <c r="B1317" s="8" t="n"/>
      <c r="C1317" s="21" t="n"/>
      <c r="D1317" s="22" t="n"/>
      <c r="E1317" s="22">
        <f>IFERROR(+VLOOKUP(C1317,Master!B:C,2,0),"")</f>
        <v/>
      </c>
      <c r="F1317" s="23">
        <f>LOOKUP(2,1/((Purchase!$D$1:$D$500=C1317)*(Purchase!$A$1:$A$500&lt;=A1317)),Purchase!$G$1:$G$500)</f>
        <v/>
      </c>
      <c r="G1317" s="23">
        <f>+D1317*F1317</f>
        <v/>
      </c>
    </row>
    <row r="1318">
      <c r="A1318" s="8" t="n"/>
      <c r="B1318" s="8" t="n"/>
      <c r="C1318" s="21" t="n"/>
      <c r="D1318" s="22" t="n"/>
      <c r="E1318" s="22">
        <f>IFERROR(+VLOOKUP(C1318,Master!B:C,2,0),"")</f>
        <v/>
      </c>
      <c r="F1318" s="23">
        <f>LOOKUP(2,1/((Purchase!$D$1:$D$500=C1318)*(Purchase!$A$1:$A$500&lt;=A1318)),Purchase!$G$1:$G$500)</f>
        <v/>
      </c>
      <c r="G1318" s="23">
        <f>+D1318*F1318</f>
        <v/>
      </c>
    </row>
    <row r="1319">
      <c r="A1319" s="8" t="n"/>
      <c r="B1319" s="8" t="n"/>
      <c r="C1319" s="21" t="n"/>
      <c r="D1319" s="22" t="n"/>
      <c r="E1319" s="22">
        <f>IFERROR(+VLOOKUP(C1319,Master!B:C,2,0),"")</f>
        <v/>
      </c>
      <c r="F1319" s="23">
        <f>LOOKUP(2,1/((Purchase!$D$1:$D$500=C1319)*(Purchase!$A$1:$A$500&lt;=A1319)),Purchase!$G$1:$G$500)</f>
        <v/>
      </c>
      <c r="G1319" s="23">
        <f>+D1319*F1319</f>
        <v/>
      </c>
    </row>
    <row r="1320">
      <c r="A1320" s="8" t="n"/>
      <c r="B1320" s="8" t="n"/>
      <c r="C1320" s="21" t="n"/>
      <c r="D1320" s="22" t="n"/>
      <c r="E1320" s="22">
        <f>IFERROR(+VLOOKUP(C1320,Master!B:C,2,0),"")</f>
        <v/>
      </c>
      <c r="F1320" s="23">
        <f>LOOKUP(2,1/((Purchase!$D$1:$D$500=C1320)*(Purchase!$A$1:$A$500&lt;=A1320)),Purchase!$G$1:$G$500)</f>
        <v/>
      </c>
      <c r="G1320" s="23">
        <f>+D1320*F1320</f>
        <v/>
      </c>
    </row>
    <row r="1321">
      <c r="A1321" s="8" t="n"/>
      <c r="B1321" s="8" t="n"/>
      <c r="C1321" s="21" t="n"/>
      <c r="D1321" s="22" t="n"/>
      <c r="E1321" s="22">
        <f>IFERROR(+VLOOKUP(C1321,Master!B:C,2,0),"")</f>
        <v/>
      </c>
      <c r="F1321" s="23">
        <f>LOOKUP(2,1/((Purchase!$D$1:$D$500=C1321)*(Purchase!$A$1:$A$500&lt;=A1321)),Purchase!$G$1:$G$500)</f>
        <v/>
      </c>
      <c r="G1321" s="23">
        <f>+D1321*F1321</f>
        <v/>
      </c>
    </row>
    <row r="1322">
      <c r="A1322" s="8" t="n"/>
      <c r="B1322" s="8" t="n"/>
      <c r="C1322" s="21" t="n"/>
      <c r="D1322" s="22" t="n"/>
      <c r="E1322" s="22">
        <f>IFERROR(+VLOOKUP(C1322,Master!B:C,2,0),"")</f>
        <v/>
      </c>
      <c r="F1322" s="23">
        <f>LOOKUP(2,1/((Purchase!$D$1:$D$500=C1322)*(Purchase!$A$1:$A$500&lt;=A1322)),Purchase!$G$1:$G$500)</f>
        <v/>
      </c>
      <c r="G1322" s="23">
        <f>+D1322*F1322</f>
        <v/>
      </c>
    </row>
    <row r="1323">
      <c r="A1323" s="8" t="n"/>
      <c r="B1323" s="8" t="n"/>
      <c r="C1323" s="21" t="n"/>
      <c r="D1323" s="22" t="n"/>
      <c r="E1323" s="22">
        <f>IFERROR(+VLOOKUP(C1323,Master!B:C,2,0),"")</f>
        <v/>
      </c>
      <c r="F1323" s="23">
        <f>LOOKUP(2,1/((Purchase!$D$1:$D$500=C1323)*(Purchase!$A$1:$A$500&lt;=A1323)),Purchase!$G$1:$G$500)</f>
        <v/>
      </c>
      <c r="G1323" s="23">
        <f>+D1323*F1323</f>
        <v/>
      </c>
    </row>
    <row r="1324">
      <c r="A1324" s="8" t="n"/>
      <c r="B1324" s="8" t="n"/>
      <c r="C1324" s="21" t="n"/>
      <c r="D1324" s="22" t="n"/>
      <c r="E1324" s="22">
        <f>IFERROR(+VLOOKUP(C1324,Master!B:C,2,0),"")</f>
        <v/>
      </c>
      <c r="F1324" s="23">
        <f>LOOKUP(2,1/((Purchase!$D$1:$D$500=C1324)*(Purchase!$A$1:$A$500&lt;=A1324)),Purchase!$G$1:$G$500)</f>
        <v/>
      </c>
      <c r="G1324" s="23">
        <f>+D1324*F1324</f>
        <v/>
      </c>
    </row>
    <row r="1325">
      <c r="A1325" s="8" t="n"/>
      <c r="B1325" s="8" t="n"/>
      <c r="C1325" s="21" t="n"/>
      <c r="D1325" s="22" t="n"/>
      <c r="E1325" s="22">
        <f>IFERROR(+VLOOKUP(C1325,Master!B:C,2,0),"")</f>
        <v/>
      </c>
      <c r="F1325" s="23">
        <f>LOOKUP(2,1/((Purchase!$D$1:$D$500=C1325)*(Purchase!$A$1:$A$500&lt;=A1325)),Purchase!$G$1:$G$500)</f>
        <v/>
      </c>
      <c r="G1325" s="23">
        <f>+D1325*F1325</f>
        <v/>
      </c>
    </row>
    <row r="1326">
      <c r="A1326" s="8" t="n"/>
      <c r="B1326" s="8" t="n"/>
      <c r="C1326" s="21" t="n"/>
      <c r="D1326" s="22" t="n"/>
      <c r="E1326" s="22">
        <f>IFERROR(+VLOOKUP(C1326,Master!B:C,2,0),"")</f>
        <v/>
      </c>
      <c r="F1326" s="23">
        <f>LOOKUP(2,1/((Purchase!$D$1:$D$500=C1326)*(Purchase!$A$1:$A$500&lt;=A1326)),Purchase!$G$1:$G$500)</f>
        <v/>
      </c>
      <c r="G1326" s="23">
        <f>+D1326*F1326</f>
        <v/>
      </c>
    </row>
    <row r="1327">
      <c r="A1327" s="8" t="n"/>
      <c r="B1327" s="8" t="n"/>
      <c r="C1327" s="21" t="n"/>
      <c r="D1327" s="22" t="n"/>
      <c r="E1327" s="22">
        <f>IFERROR(+VLOOKUP(C1327,Master!B:C,2,0),"")</f>
        <v/>
      </c>
      <c r="F1327" s="23">
        <f>LOOKUP(2,1/((Purchase!$D$1:$D$500=C1327)*(Purchase!$A$1:$A$500&lt;=A1327)),Purchase!$G$1:$G$500)</f>
        <v/>
      </c>
      <c r="G1327" s="23">
        <f>+D1327*F1327</f>
        <v/>
      </c>
    </row>
    <row r="1328">
      <c r="A1328" s="8" t="n"/>
      <c r="B1328" s="8" t="n"/>
      <c r="C1328" s="21" t="n"/>
      <c r="D1328" s="22" t="n"/>
      <c r="E1328" s="22">
        <f>IFERROR(+VLOOKUP(C1328,Master!B:C,2,0),"")</f>
        <v/>
      </c>
      <c r="F1328" s="23">
        <f>LOOKUP(2,1/((Purchase!$D$1:$D$500=C1328)*(Purchase!$A$1:$A$500&lt;=A1328)),Purchase!$G$1:$G$500)</f>
        <v/>
      </c>
      <c r="G1328" s="23">
        <f>+D1328*F1328</f>
        <v/>
      </c>
    </row>
    <row r="1329">
      <c r="A1329" s="8" t="n"/>
      <c r="B1329" s="8" t="n"/>
      <c r="C1329" s="21" t="n"/>
      <c r="D1329" s="22" t="n"/>
      <c r="E1329" s="22">
        <f>IFERROR(+VLOOKUP(C1329,Master!B:C,2,0),"")</f>
        <v/>
      </c>
      <c r="F1329" s="23">
        <f>LOOKUP(2,1/((Purchase!$D$1:$D$500=C1329)*(Purchase!$A$1:$A$500&lt;=A1329)),Purchase!$G$1:$G$500)</f>
        <v/>
      </c>
      <c r="G1329" s="23">
        <f>+D1329*F1329</f>
        <v/>
      </c>
    </row>
    <row r="1330">
      <c r="A1330" s="8" t="n"/>
      <c r="B1330" s="8" t="n"/>
      <c r="C1330" s="21" t="n"/>
      <c r="D1330" s="22" t="n"/>
      <c r="E1330" s="22">
        <f>IFERROR(+VLOOKUP(C1330,Master!B:C,2,0),"")</f>
        <v/>
      </c>
      <c r="F1330" s="23">
        <f>LOOKUP(2,1/((Purchase!$D$1:$D$500=C1330)*(Purchase!$A$1:$A$500&lt;=A1330)),Purchase!$G$1:$G$500)</f>
        <v/>
      </c>
      <c r="G1330" s="23">
        <f>+D1330*F1330</f>
        <v/>
      </c>
    </row>
    <row r="1331">
      <c r="A1331" s="8" t="n"/>
      <c r="B1331" s="8" t="n"/>
      <c r="C1331" s="21" t="n"/>
      <c r="D1331" s="22" t="n"/>
      <c r="E1331" s="22">
        <f>IFERROR(+VLOOKUP(C1331,Master!B:C,2,0),"")</f>
        <v/>
      </c>
      <c r="F1331" s="23">
        <f>LOOKUP(2,1/((Purchase!$D$1:$D$500=C1331)*(Purchase!$A$1:$A$500&lt;=A1331)),Purchase!$G$1:$G$500)</f>
        <v/>
      </c>
      <c r="G1331" s="23">
        <f>+D1331*F1331</f>
        <v/>
      </c>
    </row>
    <row r="1332">
      <c r="A1332" s="8" t="n"/>
      <c r="B1332" s="8" t="n"/>
      <c r="C1332" s="21" t="n"/>
      <c r="D1332" s="22" t="n"/>
      <c r="E1332" s="22">
        <f>IFERROR(+VLOOKUP(C1332,Master!B:C,2,0),"")</f>
        <v/>
      </c>
      <c r="F1332" s="23">
        <f>LOOKUP(2,1/((Purchase!$D$1:$D$500=C1332)*(Purchase!$A$1:$A$500&lt;=A1332)),Purchase!$G$1:$G$500)</f>
        <v/>
      </c>
      <c r="G1332" s="23">
        <f>+D1332*F1332</f>
        <v/>
      </c>
    </row>
    <row r="1333">
      <c r="A1333" s="8" t="n"/>
      <c r="B1333" s="8" t="n"/>
      <c r="C1333" s="21" t="n"/>
      <c r="D1333" s="22" t="n"/>
      <c r="E1333" s="22">
        <f>IFERROR(+VLOOKUP(C1333,Master!B:C,2,0),"")</f>
        <v/>
      </c>
      <c r="F1333" s="23">
        <f>LOOKUP(2,1/((Purchase!$D$1:$D$500=C1333)*(Purchase!$A$1:$A$500&lt;=A1333)),Purchase!$G$1:$G$500)</f>
        <v/>
      </c>
      <c r="G1333" s="23">
        <f>+D1333*F1333</f>
        <v/>
      </c>
    </row>
    <row r="1334">
      <c r="A1334" s="8" t="n"/>
      <c r="B1334" s="8" t="n"/>
      <c r="C1334" s="21" t="n"/>
      <c r="D1334" s="22" t="n"/>
      <c r="E1334" s="22">
        <f>IFERROR(+VLOOKUP(C1334,Master!B:C,2,0),"")</f>
        <v/>
      </c>
      <c r="F1334" s="23">
        <f>LOOKUP(2,1/((Purchase!$D$1:$D$500=C1334)*(Purchase!$A$1:$A$500&lt;=A1334)),Purchase!$G$1:$G$500)</f>
        <v/>
      </c>
      <c r="G1334" s="23">
        <f>+D1334*F1334</f>
        <v/>
      </c>
    </row>
    <row r="1335">
      <c r="A1335" s="8" t="n"/>
      <c r="B1335" s="8" t="n"/>
      <c r="C1335" s="21" t="n"/>
      <c r="D1335" s="22" t="n"/>
      <c r="E1335" s="22">
        <f>IFERROR(+VLOOKUP(C1335,Master!B:C,2,0),"")</f>
        <v/>
      </c>
      <c r="F1335" s="23">
        <f>LOOKUP(2,1/((Purchase!$D$1:$D$500=C1335)*(Purchase!$A$1:$A$500&lt;=A1335)),Purchase!$G$1:$G$500)</f>
        <v/>
      </c>
      <c r="G1335" s="23">
        <f>+D1335*F1335</f>
        <v/>
      </c>
    </row>
    <row r="1336">
      <c r="A1336" s="8" t="n"/>
      <c r="B1336" s="8" t="n"/>
      <c r="C1336" s="21" t="n"/>
      <c r="D1336" s="22" t="n"/>
      <c r="E1336" s="22">
        <f>IFERROR(+VLOOKUP(C1336,Master!B:C,2,0),"")</f>
        <v/>
      </c>
      <c r="F1336" s="23">
        <f>LOOKUP(2,1/((Purchase!$D$1:$D$500=C1336)*(Purchase!$A$1:$A$500&lt;=A1336)),Purchase!$G$1:$G$500)</f>
        <v/>
      </c>
      <c r="G1336" s="23">
        <f>+D1336*F1336</f>
        <v/>
      </c>
    </row>
    <row r="1337">
      <c r="A1337" s="8" t="n"/>
      <c r="B1337" s="8" t="n"/>
      <c r="C1337" s="21" t="n"/>
      <c r="D1337" s="22" t="n"/>
      <c r="E1337" s="22">
        <f>IFERROR(+VLOOKUP(C1337,Master!B:C,2,0),"")</f>
        <v/>
      </c>
      <c r="F1337" s="23">
        <f>LOOKUP(2,1/((Purchase!$D$1:$D$500=C1337)*(Purchase!$A$1:$A$500&lt;=A1337)),Purchase!$G$1:$G$500)</f>
        <v/>
      </c>
      <c r="G1337" s="23">
        <f>+D1337*F1337</f>
        <v/>
      </c>
    </row>
    <row r="1338">
      <c r="A1338" s="8" t="n"/>
      <c r="B1338" s="8" t="n"/>
      <c r="C1338" s="21" t="n"/>
      <c r="D1338" s="22" t="n"/>
      <c r="E1338" s="22">
        <f>IFERROR(+VLOOKUP(C1338,Master!B:C,2,0),"")</f>
        <v/>
      </c>
      <c r="F1338" s="23">
        <f>LOOKUP(2,1/((Purchase!$D$1:$D$500=C1338)*(Purchase!$A$1:$A$500&lt;=A1338)),Purchase!$G$1:$G$500)</f>
        <v/>
      </c>
      <c r="G1338" s="23">
        <f>+D1338*F1338</f>
        <v/>
      </c>
    </row>
    <row r="1339">
      <c r="A1339" s="8" t="n"/>
      <c r="B1339" s="8" t="n"/>
      <c r="C1339" s="21" t="n"/>
      <c r="D1339" s="22" t="n"/>
      <c r="E1339" s="22">
        <f>IFERROR(+VLOOKUP(C1339,Master!B:C,2,0),"")</f>
        <v/>
      </c>
      <c r="F1339" s="23">
        <f>LOOKUP(2,1/((Purchase!$D$1:$D$500=C1339)*(Purchase!$A$1:$A$500&lt;=A1339)),Purchase!$G$1:$G$500)</f>
        <v/>
      </c>
      <c r="G1339" s="23">
        <f>+D1339*F1339</f>
        <v/>
      </c>
    </row>
    <row r="1340">
      <c r="A1340" s="8" t="n"/>
      <c r="B1340" s="8" t="n"/>
      <c r="C1340" s="21" t="n"/>
      <c r="D1340" s="22" t="n"/>
      <c r="E1340" s="22">
        <f>IFERROR(+VLOOKUP(C1340,Master!B:C,2,0),"")</f>
        <v/>
      </c>
      <c r="F1340" s="23">
        <f>LOOKUP(2,1/((Purchase!$D$1:$D$500=C1340)*(Purchase!$A$1:$A$500&lt;=A1340)),Purchase!$G$1:$G$500)</f>
        <v/>
      </c>
      <c r="G1340" s="23">
        <f>+D1340*F1340</f>
        <v/>
      </c>
    </row>
    <row r="1341">
      <c r="A1341" s="8" t="n"/>
      <c r="B1341" s="8" t="n"/>
      <c r="C1341" s="21" t="n"/>
      <c r="D1341" s="22" t="n"/>
      <c r="E1341" s="22">
        <f>IFERROR(+VLOOKUP(C1341,Master!B:C,2,0),"")</f>
        <v/>
      </c>
      <c r="F1341" s="23">
        <f>LOOKUP(2,1/((Purchase!$D$1:$D$500=C1341)*(Purchase!$A$1:$A$500&lt;=A1341)),Purchase!$G$1:$G$500)</f>
        <v/>
      </c>
      <c r="G1341" s="23">
        <f>+D1341*F1341</f>
        <v/>
      </c>
    </row>
    <row r="1342">
      <c r="A1342" s="8" t="n"/>
      <c r="B1342" s="8" t="n"/>
      <c r="C1342" s="21" t="n"/>
      <c r="D1342" s="22" t="n"/>
      <c r="E1342" s="22">
        <f>IFERROR(+VLOOKUP(C1342,Master!B:C,2,0),"")</f>
        <v/>
      </c>
      <c r="F1342" s="23">
        <f>LOOKUP(2,1/((Purchase!$D$1:$D$500=C1342)*(Purchase!$A$1:$A$500&lt;=A1342)),Purchase!$G$1:$G$500)</f>
        <v/>
      </c>
      <c r="G1342" s="23">
        <f>+D1342*F1342</f>
        <v/>
      </c>
    </row>
    <row r="1343">
      <c r="A1343" s="8" t="n"/>
      <c r="B1343" s="8" t="n"/>
      <c r="C1343" s="21" t="n"/>
      <c r="D1343" s="22" t="n"/>
      <c r="E1343" s="22">
        <f>IFERROR(+VLOOKUP(C1343,Master!B:C,2,0),"")</f>
        <v/>
      </c>
      <c r="F1343" s="23">
        <f>LOOKUP(2,1/((Purchase!$D$1:$D$500=C1343)*(Purchase!$A$1:$A$500&lt;=A1343)),Purchase!$G$1:$G$500)</f>
        <v/>
      </c>
      <c r="G1343" s="23">
        <f>+D1343*F1343</f>
        <v/>
      </c>
    </row>
    <row r="1344">
      <c r="A1344" s="8" t="n"/>
      <c r="B1344" s="8" t="n"/>
      <c r="C1344" s="21" t="n"/>
      <c r="D1344" s="22" t="n"/>
      <c r="E1344" s="22">
        <f>IFERROR(+VLOOKUP(C1344,Master!B:C,2,0),"")</f>
        <v/>
      </c>
      <c r="F1344" s="23">
        <f>LOOKUP(2,1/((Purchase!$D$1:$D$500=C1344)*(Purchase!$A$1:$A$500&lt;=A1344)),Purchase!$G$1:$G$500)</f>
        <v/>
      </c>
      <c r="G1344" s="23">
        <f>+D1344*F1344</f>
        <v/>
      </c>
    </row>
    <row r="1345">
      <c r="A1345" s="8" t="n"/>
      <c r="B1345" s="8" t="n"/>
      <c r="C1345" s="21" t="n"/>
      <c r="D1345" s="22" t="n"/>
      <c r="E1345" s="22">
        <f>IFERROR(+VLOOKUP(C1345,Master!B:C,2,0),"")</f>
        <v/>
      </c>
      <c r="F1345" s="23">
        <f>LOOKUP(2,1/((Purchase!$D$1:$D$500=C1345)*(Purchase!$A$1:$A$500&lt;=A1345)),Purchase!$G$1:$G$500)</f>
        <v/>
      </c>
      <c r="G1345" s="23">
        <f>+D1345*F1345</f>
        <v/>
      </c>
    </row>
    <row r="1346">
      <c r="A1346" s="8" t="n"/>
      <c r="B1346" s="8" t="n"/>
      <c r="C1346" s="21" t="n"/>
      <c r="D1346" s="22" t="n"/>
      <c r="E1346" s="22">
        <f>IFERROR(+VLOOKUP(C1346,Master!B:C,2,0),"")</f>
        <v/>
      </c>
      <c r="F1346" s="23">
        <f>LOOKUP(2,1/((Purchase!$D$1:$D$500=C1346)*(Purchase!$A$1:$A$500&lt;=A1346)),Purchase!$G$1:$G$500)</f>
        <v/>
      </c>
      <c r="G1346" s="23">
        <f>+D1346*F1346</f>
        <v/>
      </c>
    </row>
    <row r="1347">
      <c r="A1347" s="8" t="n"/>
      <c r="B1347" s="8" t="n"/>
      <c r="C1347" s="21" t="n"/>
      <c r="D1347" s="22" t="n"/>
      <c r="E1347" s="22">
        <f>IFERROR(+VLOOKUP(C1347,Master!B:C,2,0),"")</f>
        <v/>
      </c>
      <c r="F1347" s="23">
        <f>LOOKUP(2,1/((Purchase!$D$1:$D$500=C1347)*(Purchase!$A$1:$A$500&lt;=A1347)),Purchase!$G$1:$G$500)</f>
        <v/>
      </c>
      <c r="G1347" s="23">
        <f>+D1347*F1347</f>
        <v/>
      </c>
    </row>
    <row r="1348">
      <c r="A1348" s="8" t="n"/>
      <c r="B1348" s="8" t="n"/>
      <c r="C1348" s="21" t="n"/>
      <c r="D1348" s="22" t="n"/>
      <c r="E1348" s="22">
        <f>IFERROR(+VLOOKUP(C1348,Master!B:C,2,0),"")</f>
        <v/>
      </c>
      <c r="F1348" s="23">
        <f>LOOKUP(2,1/((Purchase!$D$1:$D$500=C1348)*(Purchase!$A$1:$A$500&lt;=A1348)),Purchase!$G$1:$G$500)</f>
        <v/>
      </c>
      <c r="G1348" s="23">
        <f>+D1348*F1348</f>
        <v/>
      </c>
    </row>
    <row r="1349">
      <c r="A1349" s="8" t="n"/>
      <c r="B1349" s="8" t="n"/>
      <c r="C1349" s="21" t="n"/>
      <c r="D1349" s="22" t="n"/>
      <c r="E1349" s="22">
        <f>IFERROR(+VLOOKUP(C1349,Master!B:C,2,0),"")</f>
        <v/>
      </c>
      <c r="F1349" s="23">
        <f>LOOKUP(2,1/((Purchase!$D$1:$D$500=C1349)*(Purchase!$A$1:$A$500&lt;=A1349)),Purchase!$G$1:$G$500)</f>
        <v/>
      </c>
      <c r="G1349" s="23">
        <f>+D1349*F1349</f>
        <v/>
      </c>
    </row>
    <row r="1350">
      <c r="A1350" s="8" t="n"/>
      <c r="B1350" s="8" t="n"/>
      <c r="C1350" s="21" t="n"/>
      <c r="D1350" s="22" t="n"/>
      <c r="E1350" s="22">
        <f>IFERROR(+VLOOKUP(C1350,Master!B:C,2,0),"")</f>
        <v/>
      </c>
      <c r="F1350" s="23">
        <f>LOOKUP(2,1/((Purchase!$D$1:$D$500=C1350)*(Purchase!$A$1:$A$500&lt;=A1350)),Purchase!$G$1:$G$500)</f>
        <v/>
      </c>
      <c r="G1350" s="23">
        <f>+D1350*F1350</f>
        <v/>
      </c>
    </row>
    <row r="1351">
      <c r="A1351" s="8" t="n"/>
      <c r="B1351" s="8" t="n"/>
      <c r="C1351" s="21" t="n"/>
      <c r="D1351" s="22" t="n"/>
      <c r="E1351" s="22">
        <f>IFERROR(+VLOOKUP(C1351,Master!B:C,2,0),"")</f>
        <v/>
      </c>
      <c r="F1351" s="23">
        <f>LOOKUP(2,1/((Purchase!$D$1:$D$500=C1351)*(Purchase!$A$1:$A$500&lt;=A1351)),Purchase!$G$1:$G$500)</f>
        <v/>
      </c>
      <c r="G1351" s="23">
        <f>+D1351*F1351</f>
        <v/>
      </c>
    </row>
    <row r="1352">
      <c r="A1352" s="8" t="n"/>
      <c r="B1352" s="8" t="n"/>
      <c r="C1352" s="21" t="n"/>
      <c r="D1352" s="22" t="n"/>
      <c r="E1352" s="22">
        <f>IFERROR(+VLOOKUP(C1352,Master!B:C,2,0),"")</f>
        <v/>
      </c>
      <c r="F1352" s="23">
        <f>LOOKUP(2,1/((Purchase!$D$1:$D$500=C1352)*(Purchase!$A$1:$A$500&lt;=A1352)),Purchase!$G$1:$G$500)</f>
        <v/>
      </c>
      <c r="G1352" s="23">
        <f>+D1352*F1352</f>
        <v/>
      </c>
    </row>
    <row r="1353">
      <c r="A1353" s="8" t="n"/>
      <c r="B1353" s="8" t="n"/>
      <c r="C1353" s="21" t="n"/>
      <c r="D1353" s="22" t="n"/>
      <c r="E1353" s="22">
        <f>IFERROR(+VLOOKUP(C1353,Master!B:C,2,0),"")</f>
        <v/>
      </c>
      <c r="F1353" s="23">
        <f>LOOKUP(2,1/((Purchase!$D$1:$D$500=C1353)*(Purchase!$A$1:$A$500&lt;=A1353)),Purchase!$G$1:$G$500)</f>
        <v/>
      </c>
      <c r="G1353" s="23">
        <f>+D1353*F1353</f>
        <v/>
      </c>
    </row>
    <row r="1354">
      <c r="A1354" s="8" t="n"/>
      <c r="B1354" s="8" t="n"/>
      <c r="C1354" s="21" t="n"/>
      <c r="D1354" s="22" t="n"/>
      <c r="E1354" s="22">
        <f>IFERROR(+VLOOKUP(C1354,Master!B:C,2,0),"")</f>
        <v/>
      </c>
      <c r="F1354" s="23">
        <f>LOOKUP(2,1/((Purchase!$D$1:$D$500=C1354)*(Purchase!$A$1:$A$500&lt;=A1354)),Purchase!$G$1:$G$500)</f>
        <v/>
      </c>
      <c r="G1354" s="23">
        <f>+D1354*F1354</f>
        <v/>
      </c>
    </row>
    <row r="1355">
      <c r="A1355" s="8" t="n"/>
      <c r="B1355" s="8" t="n"/>
      <c r="C1355" s="21" t="n"/>
      <c r="D1355" s="22" t="n"/>
      <c r="E1355" s="22">
        <f>IFERROR(+VLOOKUP(C1355,Master!B:C,2,0),"")</f>
        <v/>
      </c>
      <c r="F1355" s="23">
        <f>LOOKUP(2,1/((Purchase!$D$1:$D$500=C1355)*(Purchase!$A$1:$A$500&lt;=A1355)),Purchase!$G$1:$G$500)</f>
        <v/>
      </c>
      <c r="G1355" s="23">
        <f>+D1355*F1355</f>
        <v/>
      </c>
    </row>
    <row r="1356">
      <c r="A1356" s="8" t="n"/>
      <c r="B1356" s="8" t="n"/>
      <c r="C1356" s="21" t="n"/>
      <c r="D1356" s="22" t="n"/>
      <c r="E1356" s="22">
        <f>IFERROR(+VLOOKUP(C1356,Master!B:C,2,0),"")</f>
        <v/>
      </c>
      <c r="F1356" s="23">
        <f>LOOKUP(2,1/((Purchase!$D$1:$D$500=C1356)*(Purchase!$A$1:$A$500&lt;=A1356)),Purchase!$G$1:$G$500)</f>
        <v/>
      </c>
      <c r="G1356" s="23">
        <f>+D1356*F1356</f>
        <v/>
      </c>
    </row>
    <row r="1357">
      <c r="A1357" s="8" t="n"/>
      <c r="B1357" s="8" t="n"/>
      <c r="C1357" s="21" t="n"/>
      <c r="D1357" s="22" t="n"/>
      <c r="E1357" s="22">
        <f>IFERROR(+VLOOKUP(C1357,Master!B:C,2,0),"")</f>
        <v/>
      </c>
      <c r="F1357" s="23">
        <f>LOOKUP(2,1/((Purchase!$D$1:$D$500=C1357)*(Purchase!$A$1:$A$500&lt;=A1357)),Purchase!$G$1:$G$500)</f>
        <v/>
      </c>
      <c r="G1357" s="23">
        <f>+D1357*F1357</f>
        <v/>
      </c>
    </row>
    <row r="1358">
      <c r="A1358" s="8" t="n"/>
      <c r="B1358" s="8" t="n"/>
      <c r="C1358" s="21" t="n"/>
      <c r="D1358" s="22" t="n"/>
      <c r="E1358" s="22">
        <f>IFERROR(+VLOOKUP(C1358,Master!B:C,2,0),"")</f>
        <v/>
      </c>
      <c r="F1358" s="23">
        <f>LOOKUP(2,1/((Purchase!$D$1:$D$500=C1358)*(Purchase!$A$1:$A$500&lt;=A1358)),Purchase!$G$1:$G$500)</f>
        <v/>
      </c>
      <c r="G1358" s="23">
        <f>+D1358*F1358</f>
        <v/>
      </c>
    </row>
    <row r="1359">
      <c r="A1359" s="8" t="n"/>
      <c r="B1359" s="8" t="n"/>
      <c r="C1359" s="21" t="n"/>
      <c r="D1359" s="22" t="n"/>
      <c r="E1359" s="22">
        <f>IFERROR(+VLOOKUP(C1359,Master!B:C,2,0),"")</f>
        <v/>
      </c>
      <c r="F1359" s="23">
        <f>LOOKUP(2,1/((Purchase!$D$1:$D$500=C1359)*(Purchase!$A$1:$A$500&lt;=A1359)),Purchase!$G$1:$G$500)</f>
        <v/>
      </c>
      <c r="G1359" s="23">
        <f>+D1359*F1359</f>
        <v/>
      </c>
    </row>
    <row r="1360">
      <c r="A1360" s="8" t="n"/>
      <c r="B1360" s="8" t="n"/>
      <c r="C1360" s="21" t="n"/>
      <c r="D1360" s="22" t="n"/>
      <c r="E1360" s="22">
        <f>IFERROR(+VLOOKUP(C1360,Master!B:C,2,0),"")</f>
        <v/>
      </c>
      <c r="F1360" s="23">
        <f>LOOKUP(2,1/((Purchase!$D$1:$D$500=C1360)*(Purchase!$A$1:$A$500&lt;=A1360)),Purchase!$G$1:$G$500)</f>
        <v/>
      </c>
      <c r="G1360" s="23">
        <f>+D1360*F1360</f>
        <v/>
      </c>
    </row>
    <row r="1361">
      <c r="A1361" s="8" t="n"/>
      <c r="B1361" s="8" t="n"/>
      <c r="C1361" s="21" t="n"/>
      <c r="D1361" s="22" t="n"/>
      <c r="E1361" s="22">
        <f>IFERROR(+VLOOKUP(C1361,Master!B:C,2,0),"")</f>
        <v/>
      </c>
      <c r="F1361" s="23">
        <f>LOOKUP(2,1/((Purchase!$D$1:$D$500=C1361)*(Purchase!$A$1:$A$500&lt;=A1361)),Purchase!$G$1:$G$500)</f>
        <v/>
      </c>
      <c r="G1361" s="23">
        <f>+D1361*F1361</f>
        <v/>
      </c>
    </row>
    <row r="1362">
      <c r="A1362" s="8" t="n"/>
      <c r="B1362" s="8" t="n"/>
      <c r="C1362" s="21" t="n"/>
      <c r="D1362" s="22" t="n"/>
      <c r="E1362" s="22">
        <f>IFERROR(+VLOOKUP(C1362,Master!B:C,2,0),"")</f>
        <v/>
      </c>
      <c r="F1362" s="23">
        <f>LOOKUP(2,1/((Purchase!$D$1:$D$500=C1362)*(Purchase!$A$1:$A$500&lt;=A1362)),Purchase!$G$1:$G$500)</f>
        <v/>
      </c>
      <c r="G1362" s="23">
        <f>+D1362*F1362</f>
        <v/>
      </c>
    </row>
    <row r="1363">
      <c r="A1363" s="8" t="n"/>
      <c r="B1363" s="8" t="n"/>
      <c r="C1363" s="21" t="n"/>
      <c r="D1363" s="22" t="n"/>
      <c r="E1363" s="22">
        <f>IFERROR(+VLOOKUP(C1363,Master!B:C,2,0),"")</f>
        <v/>
      </c>
      <c r="F1363" s="23">
        <f>LOOKUP(2,1/((Purchase!$D$1:$D$500=C1363)*(Purchase!$A$1:$A$500&lt;=A1363)),Purchase!$G$1:$G$500)</f>
        <v/>
      </c>
      <c r="G1363" s="23">
        <f>+D1363*F1363</f>
        <v/>
      </c>
    </row>
    <row r="1364">
      <c r="A1364" s="8" t="n"/>
      <c r="B1364" s="8" t="n"/>
      <c r="C1364" s="21" t="n"/>
      <c r="D1364" s="22" t="n"/>
      <c r="E1364" s="22">
        <f>IFERROR(+VLOOKUP(C1364,Master!B:C,2,0),"")</f>
        <v/>
      </c>
      <c r="F1364" s="23">
        <f>LOOKUP(2,1/((Purchase!$D$1:$D$500=C1364)*(Purchase!$A$1:$A$500&lt;=A1364)),Purchase!$G$1:$G$500)</f>
        <v/>
      </c>
      <c r="G1364" s="23">
        <f>+D1364*F1364</f>
        <v/>
      </c>
    </row>
    <row r="1365">
      <c r="A1365" s="8" t="n"/>
      <c r="B1365" s="8" t="n"/>
      <c r="C1365" s="21" t="n"/>
      <c r="D1365" s="22" t="n"/>
      <c r="E1365" s="22">
        <f>IFERROR(+VLOOKUP(C1365,Master!B:C,2,0),"")</f>
        <v/>
      </c>
      <c r="F1365" s="23">
        <f>LOOKUP(2,1/((Purchase!$D$1:$D$500=C1365)*(Purchase!$A$1:$A$500&lt;=A1365)),Purchase!$G$1:$G$500)</f>
        <v/>
      </c>
      <c r="G1365" s="23">
        <f>+D1365*F1365</f>
        <v/>
      </c>
    </row>
    <row r="1366">
      <c r="A1366" s="8" t="n"/>
      <c r="B1366" s="8" t="n"/>
      <c r="C1366" s="21" t="n"/>
      <c r="D1366" s="22" t="n"/>
      <c r="E1366" s="22">
        <f>IFERROR(+VLOOKUP(C1366,Master!B:C,2,0),"")</f>
        <v/>
      </c>
      <c r="F1366" s="23">
        <f>LOOKUP(2,1/((Purchase!$D$1:$D$500=C1366)*(Purchase!$A$1:$A$500&lt;=A1366)),Purchase!$G$1:$G$500)</f>
        <v/>
      </c>
      <c r="G1366" s="23">
        <f>+D1366*F1366</f>
        <v/>
      </c>
    </row>
    <row r="1367">
      <c r="A1367" s="8" t="n"/>
      <c r="B1367" s="8" t="n"/>
      <c r="C1367" s="21" t="n"/>
      <c r="D1367" s="22" t="n"/>
      <c r="E1367" s="22">
        <f>IFERROR(+VLOOKUP(C1367,Master!B:C,2,0),"")</f>
        <v/>
      </c>
      <c r="F1367" s="23">
        <f>LOOKUP(2,1/((Purchase!$D$1:$D$500=C1367)*(Purchase!$A$1:$A$500&lt;=A1367)),Purchase!$G$1:$G$500)</f>
        <v/>
      </c>
      <c r="G1367" s="23">
        <f>+D1367*F1367</f>
        <v/>
      </c>
    </row>
    <row r="1368">
      <c r="A1368" s="8" t="n"/>
      <c r="B1368" s="8" t="n"/>
      <c r="C1368" s="21" t="n"/>
      <c r="D1368" s="22" t="n"/>
      <c r="E1368" s="22">
        <f>IFERROR(+VLOOKUP(C1368,Master!B:C,2,0),"")</f>
        <v/>
      </c>
      <c r="F1368" s="23">
        <f>LOOKUP(2,1/((Purchase!$D$1:$D$500=C1368)*(Purchase!$A$1:$A$500&lt;=A1368)),Purchase!$G$1:$G$500)</f>
        <v/>
      </c>
      <c r="G1368" s="23">
        <f>+D1368*F1368</f>
        <v/>
      </c>
    </row>
    <row r="1369">
      <c r="A1369" s="8" t="n"/>
      <c r="B1369" s="8" t="n"/>
      <c r="C1369" s="21" t="n"/>
      <c r="D1369" s="22" t="n"/>
      <c r="E1369" s="22">
        <f>IFERROR(+VLOOKUP(C1369,Master!B:C,2,0),"")</f>
        <v/>
      </c>
      <c r="F1369" s="23">
        <f>LOOKUP(2,1/((Purchase!$D$1:$D$500=C1369)*(Purchase!$A$1:$A$500&lt;=A1369)),Purchase!$G$1:$G$500)</f>
        <v/>
      </c>
      <c r="G1369" s="23">
        <f>+D1369*F1369</f>
        <v/>
      </c>
    </row>
    <row r="1370">
      <c r="A1370" s="8" t="n"/>
      <c r="B1370" s="8" t="n"/>
      <c r="C1370" s="21" t="n"/>
      <c r="D1370" s="22" t="n"/>
      <c r="E1370" s="22">
        <f>IFERROR(+VLOOKUP(C1370,Master!B:C,2,0),"")</f>
        <v/>
      </c>
      <c r="F1370" s="23">
        <f>LOOKUP(2,1/((Purchase!$D$1:$D$500=C1370)*(Purchase!$A$1:$A$500&lt;=A1370)),Purchase!$G$1:$G$500)</f>
        <v/>
      </c>
      <c r="G1370" s="23">
        <f>+D1370*F1370</f>
        <v/>
      </c>
    </row>
    <row r="1371">
      <c r="A1371" s="8" t="n"/>
      <c r="B1371" s="8" t="n"/>
      <c r="C1371" s="21" t="n"/>
      <c r="D1371" s="22" t="n"/>
      <c r="E1371" s="22">
        <f>IFERROR(+VLOOKUP(C1371,Master!B:C,2,0),"")</f>
        <v/>
      </c>
      <c r="F1371" s="23">
        <f>LOOKUP(2,1/((Purchase!$D$1:$D$500=C1371)*(Purchase!$A$1:$A$500&lt;=A1371)),Purchase!$G$1:$G$500)</f>
        <v/>
      </c>
      <c r="G1371" s="23">
        <f>+D1371*F1371</f>
        <v/>
      </c>
    </row>
    <row r="1372">
      <c r="A1372" s="8" t="n"/>
      <c r="B1372" s="8" t="n"/>
      <c r="C1372" s="21" t="n"/>
      <c r="D1372" s="22" t="n"/>
      <c r="E1372" s="22">
        <f>IFERROR(+VLOOKUP(C1372,Master!B:C,2,0),"")</f>
        <v/>
      </c>
      <c r="F1372" s="23">
        <f>LOOKUP(2,1/((Purchase!$D$1:$D$500=C1372)*(Purchase!$A$1:$A$500&lt;=A1372)),Purchase!$G$1:$G$500)</f>
        <v/>
      </c>
      <c r="G1372" s="23">
        <f>+D1372*F1372</f>
        <v/>
      </c>
    </row>
    <row r="1373">
      <c r="A1373" s="8" t="n"/>
      <c r="B1373" s="8" t="n"/>
      <c r="C1373" s="21" t="n"/>
      <c r="D1373" s="22" t="n"/>
      <c r="E1373" s="22">
        <f>IFERROR(+VLOOKUP(C1373,Master!B:C,2,0),"")</f>
        <v/>
      </c>
      <c r="F1373" s="23">
        <f>LOOKUP(2,1/((Purchase!$D$1:$D$500=C1373)*(Purchase!$A$1:$A$500&lt;=A1373)),Purchase!$G$1:$G$500)</f>
        <v/>
      </c>
      <c r="G1373" s="23">
        <f>+D1373*F1373</f>
        <v/>
      </c>
    </row>
    <row r="1374">
      <c r="A1374" s="8" t="n"/>
      <c r="B1374" s="8" t="n"/>
      <c r="C1374" s="21" t="n"/>
      <c r="D1374" s="22" t="n"/>
      <c r="E1374" s="22">
        <f>IFERROR(+VLOOKUP(C1374,Master!B:C,2,0),"")</f>
        <v/>
      </c>
      <c r="F1374" s="23">
        <f>LOOKUP(2,1/((Purchase!$D$1:$D$500=C1374)*(Purchase!$A$1:$A$500&lt;=A1374)),Purchase!$G$1:$G$500)</f>
        <v/>
      </c>
      <c r="G1374" s="23">
        <f>+D1374*F1374</f>
        <v/>
      </c>
    </row>
    <row r="1375">
      <c r="A1375" s="8" t="n"/>
      <c r="B1375" s="8" t="n"/>
      <c r="C1375" s="21" t="n"/>
      <c r="D1375" s="22" t="n"/>
      <c r="E1375" s="22">
        <f>IFERROR(+VLOOKUP(C1375,Master!B:C,2,0),"")</f>
        <v/>
      </c>
      <c r="F1375" s="23">
        <f>LOOKUP(2,1/((Purchase!$D$1:$D$500=C1375)*(Purchase!$A$1:$A$500&lt;=A1375)),Purchase!$G$1:$G$500)</f>
        <v/>
      </c>
      <c r="G1375" s="23">
        <f>+D1375*F1375</f>
        <v/>
      </c>
    </row>
    <row r="1376">
      <c r="A1376" s="8" t="n"/>
      <c r="B1376" s="8" t="n"/>
      <c r="C1376" s="21" t="n"/>
      <c r="D1376" s="22" t="n"/>
      <c r="E1376" s="22">
        <f>IFERROR(+VLOOKUP(C1376,Master!B:C,2,0),"")</f>
        <v/>
      </c>
      <c r="F1376" s="23">
        <f>LOOKUP(2,1/((Purchase!$D$1:$D$500=C1376)*(Purchase!$A$1:$A$500&lt;=A1376)),Purchase!$G$1:$G$500)</f>
        <v/>
      </c>
      <c r="G1376" s="23">
        <f>+D1376*F1376</f>
        <v/>
      </c>
    </row>
    <row r="1377">
      <c r="A1377" s="8" t="n"/>
      <c r="B1377" s="8" t="n"/>
      <c r="C1377" s="21" t="n"/>
      <c r="D1377" s="22" t="n"/>
      <c r="E1377" s="22">
        <f>IFERROR(+VLOOKUP(C1377,Master!B:C,2,0),"")</f>
        <v/>
      </c>
      <c r="F1377" s="23">
        <f>LOOKUP(2,1/((Purchase!$D$1:$D$500=C1377)*(Purchase!$A$1:$A$500&lt;=A1377)),Purchase!$G$1:$G$500)</f>
        <v/>
      </c>
      <c r="G1377" s="23">
        <f>+D1377*F1377</f>
        <v/>
      </c>
    </row>
    <row r="1378">
      <c r="A1378" s="8" t="n"/>
      <c r="B1378" s="8" t="n"/>
      <c r="C1378" s="21" t="n"/>
      <c r="D1378" s="22" t="n"/>
      <c r="E1378" s="22">
        <f>IFERROR(+VLOOKUP(C1378,Master!B:C,2,0),"")</f>
        <v/>
      </c>
      <c r="F1378" s="23">
        <f>LOOKUP(2,1/((Purchase!$D$1:$D$500=C1378)*(Purchase!$A$1:$A$500&lt;=A1378)),Purchase!$G$1:$G$500)</f>
        <v/>
      </c>
      <c r="G1378" s="23">
        <f>+D1378*F1378</f>
        <v/>
      </c>
    </row>
    <row r="1379">
      <c r="A1379" s="8" t="n"/>
      <c r="B1379" s="8" t="n"/>
      <c r="C1379" s="21" t="n"/>
      <c r="D1379" s="22" t="n"/>
      <c r="E1379" s="22">
        <f>IFERROR(+VLOOKUP(C1379,Master!B:C,2,0),"")</f>
        <v/>
      </c>
      <c r="F1379" s="23">
        <f>LOOKUP(2,1/((Purchase!$D$1:$D$500=C1379)*(Purchase!$A$1:$A$500&lt;=A1379)),Purchase!$G$1:$G$500)</f>
        <v/>
      </c>
      <c r="G1379" s="23">
        <f>+D1379*F1379</f>
        <v/>
      </c>
    </row>
    <row r="1380">
      <c r="A1380" s="8" t="n"/>
      <c r="B1380" s="8" t="n"/>
      <c r="C1380" s="21" t="n"/>
      <c r="D1380" s="22" t="n"/>
      <c r="E1380" s="22">
        <f>IFERROR(+VLOOKUP(C1380,Master!B:C,2,0),"")</f>
        <v/>
      </c>
      <c r="F1380" s="23">
        <f>LOOKUP(2,1/((Purchase!$D$1:$D$500=C1380)*(Purchase!$A$1:$A$500&lt;=A1380)),Purchase!$G$1:$G$500)</f>
        <v/>
      </c>
      <c r="G1380" s="23">
        <f>+D1380*F1380</f>
        <v/>
      </c>
    </row>
    <row r="1381">
      <c r="A1381" s="8" t="n"/>
      <c r="B1381" s="8" t="n"/>
      <c r="C1381" s="21" t="n"/>
      <c r="D1381" s="22" t="n"/>
      <c r="E1381" s="22">
        <f>IFERROR(+VLOOKUP(C1381,Master!B:C,2,0),"")</f>
        <v/>
      </c>
      <c r="F1381" s="23">
        <f>LOOKUP(2,1/((Purchase!$D$1:$D$500=C1381)*(Purchase!$A$1:$A$500&lt;=A1381)),Purchase!$G$1:$G$500)</f>
        <v/>
      </c>
      <c r="G1381" s="23">
        <f>+D1381*F1381</f>
        <v/>
      </c>
    </row>
    <row r="1382">
      <c r="A1382" s="8" t="n"/>
      <c r="B1382" s="8" t="n"/>
      <c r="C1382" s="21" t="n"/>
      <c r="D1382" s="22" t="n"/>
      <c r="E1382" s="22">
        <f>IFERROR(+VLOOKUP(C1382,Master!B:C,2,0),"")</f>
        <v/>
      </c>
      <c r="F1382" s="23">
        <f>LOOKUP(2,1/((Purchase!$D$1:$D$500=C1382)*(Purchase!$A$1:$A$500&lt;=A1382)),Purchase!$G$1:$G$500)</f>
        <v/>
      </c>
      <c r="G1382" s="23">
        <f>+D1382*F1382</f>
        <v/>
      </c>
    </row>
    <row r="1383">
      <c r="A1383" s="8" t="n"/>
      <c r="B1383" s="8" t="n"/>
      <c r="C1383" s="21" t="n"/>
      <c r="D1383" s="22" t="n"/>
      <c r="E1383" s="22">
        <f>IFERROR(+VLOOKUP(C1383,Master!B:C,2,0),"")</f>
        <v/>
      </c>
      <c r="F1383" s="23">
        <f>LOOKUP(2,1/((Purchase!$D$1:$D$500=C1383)*(Purchase!$A$1:$A$500&lt;=A1383)),Purchase!$G$1:$G$500)</f>
        <v/>
      </c>
      <c r="G1383" s="23">
        <f>+D1383*F1383</f>
        <v/>
      </c>
    </row>
    <row r="1384">
      <c r="A1384" s="8" t="n"/>
      <c r="B1384" s="8" t="n"/>
      <c r="C1384" s="21" t="n"/>
      <c r="D1384" s="22" t="n"/>
      <c r="E1384" s="22">
        <f>IFERROR(+VLOOKUP(C1384,Master!B:C,2,0),"")</f>
        <v/>
      </c>
      <c r="F1384" s="23">
        <f>LOOKUP(2,1/((Purchase!$D$1:$D$500=C1384)*(Purchase!$A$1:$A$500&lt;=A1384)),Purchase!$G$1:$G$500)</f>
        <v/>
      </c>
      <c r="G1384" s="23">
        <f>+D1384*F1384</f>
        <v/>
      </c>
    </row>
    <row r="1385">
      <c r="A1385" s="8" t="n"/>
      <c r="B1385" s="8" t="n"/>
      <c r="C1385" s="21" t="n"/>
      <c r="D1385" s="22" t="n"/>
      <c r="E1385" s="22">
        <f>IFERROR(+VLOOKUP(C1385,Master!B:C,2,0),"")</f>
        <v/>
      </c>
      <c r="F1385" s="23">
        <f>LOOKUP(2,1/((Purchase!$D$1:$D$500=C1385)*(Purchase!$A$1:$A$500&lt;=A1385)),Purchase!$G$1:$G$500)</f>
        <v/>
      </c>
      <c r="G1385" s="23">
        <f>+D1385*F1385</f>
        <v/>
      </c>
    </row>
    <row r="1386">
      <c r="A1386" s="8" t="n"/>
      <c r="B1386" s="8" t="n"/>
      <c r="C1386" s="21" t="n"/>
      <c r="D1386" s="22" t="n"/>
      <c r="E1386" s="22">
        <f>IFERROR(+VLOOKUP(C1386,Master!B:C,2,0),"")</f>
        <v/>
      </c>
      <c r="F1386" s="23">
        <f>LOOKUP(2,1/((Purchase!$D$1:$D$500=C1386)*(Purchase!$A$1:$A$500&lt;=A1386)),Purchase!$G$1:$G$500)</f>
        <v/>
      </c>
      <c r="G1386" s="23">
        <f>+D1386*F1386</f>
        <v/>
      </c>
    </row>
    <row r="1387">
      <c r="A1387" s="8" t="n"/>
      <c r="B1387" s="8" t="n"/>
      <c r="C1387" s="21" t="n"/>
      <c r="D1387" s="22" t="n"/>
      <c r="E1387" s="22">
        <f>IFERROR(+VLOOKUP(C1387,Master!B:C,2,0),"")</f>
        <v/>
      </c>
      <c r="F1387" s="23">
        <f>LOOKUP(2,1/((Purchase!$D$1:$D$500=C1387)*(Purchase!$A$1:$A$500&lt;=A1387)),Purchase!$G$1:$G$500)</f>
        <v/>
      </c>
      <c r="G1387" s="23">
        <f>+D1387*F1387</f>
        <v/>
      </c>
    </row>
    <row r="1388">
      <c r="A1388" s="8" t="n"/>
      <c r="B1388" s="8" t="n"/>
      <c r="C1388" s="21" t="n"/>
      <c r="D1388" s="22" t="n"/>
      <c r="E1388" s="22">
        <f>IFERROR(+VLOOKUP(C1388,Master!B:C,2,0),"")</f>
        <v/>
      </c>
      <c r="F1388" s="23">
        <f>LOOKUP(2,1/((Purchase!$D$1:$D$500=C1388)*(Purchase!$A$1:$A$500&lt;=A1388)),Purchase!$G$1:$G$500)</f>
        <v/>
      </c>
      <c r="G1388" s="23">
        <f>+D1388*F1388</f>
        <v/>
      </c>
    </row>
    <row r="1389">
      <c r="A1389" s="8" t="n"/>
      <c r="B1389" s="8" t="n"/>
      <c r="C1389" s="21" t="n"/>
      <c r="D1389" s="22" t="n"/>
      <c r="E1389" s="22">
        <f>IFERROR(+VLOOKUP(C1389,Master!B:C,2,0),"")</f>
        <v/>
      </c>
      <c r="F1389" s="23">
        <f>LOOKUP(2,1/((Purchase!$D$1:$D$500=C1389)*(Purchase!$A$1:$A$500&lt;=A1389)),Purchase!$G$1:$G$500)</f>
        <v/>
      </c>
      <c r="G1389" s="23">
        <f>+D1389*F1389</f>
        <v/>
      </c>
    </row>
    <row r="1390">
      <c r="A1390" s="8" t="n"/>
      <c r="B1390" s="8" t="n"/>
      <c r="C1390" s="21" t="n"/>
      <c r="D1390" s="22" t="n"/>
      <c r="E1390" s="22">
        <f>IFERROR(+VLOOKUP(C1390,Master!B:C,2,0),"")</f>
        <v/>
      </c>
      <c r="F1390" s="23">
        <f>LOOKUP(2,1/((Purchase!$D$1:$D$500=C1390)*(Purchase!$A$1:$A$500&lt;=A1390)),Purchase!$G$1:$G$500)</f>
        <v/>
      </c>
      <c r="G1390" s="23">
        <f>+D1390*F1390</f>
        <v/>
      </c>
    </row>
    <row r="1391">
      <c r="A1391" s="8" t="n"/>
      <c r="B1391" s="8" t="n"/>
      <c r="C1391" s="21" t="n"/>
      <c r="D1391" s="22" t="n"/>
      <c r="E1391" s="22">
        <f>IFERROR(+VLOOKUP(C1391,Master!B:C,2,0),"")</f>
        <v/>
      </c>
      <c r="F1391" s="23">
        <f>LOOKUP(2,1/((Purchase!$D$1:$D$500=C1391)*(Purchase!$A$1:$A$500&lt;=A1391)),Purchase!$G$1:$G$500)</f>
        <v/>
      </c>
      <c r="G1391" s="23">
        <f>+D1391*F1391</f>
        <v/>
      </c>
    </row>
    <row r="1392">
      <c r="A1392" s="8" t="n"/>
      <c r="B1392" s="8" t="n"/>
      <c r="C1392" s="21" t="n"/>
      <c r="D1392" s="22" t="n"/>
      <c r="E1392" s="22">
        <f>IFERROR(+VLOOKUP(C1392,Master!B:C,2,0),"")</f>
        <v/>
      </c>
      <c r="F1392" s="23">
        <f>LOOKUP(2,1/((Purchase!$D$1:$D$500=C1392)*(Purchase!$A$1:$A$500&lt;=A1392)),Purchase!$G$1:$G$500)</f>
        <v/>
      </c>
      <c r="G1392" s="23">
        <f>+D1392*F1392</f>
        <v/>
      </c>
    </row>
    <row r="1393">
      <c r="A1393" s="8" t="n"/>
      <c r="B1393" s="8" t="n"/>
      <c r="C1393" s="21" t="n"/>
      <c r="D1393" s="22" t="n"/>
      <c r="E1393" s="22">
        <f>IFERROR(+VLOOKUP(C1393,Master!B:C,2,0),"")</f>
        <v/>
      </c>
      <c r="F1393" s="23">
        <f>LOOKUP(2,1/((Purchase!$D$1:$D$500=C1393)*(Purchase!$A$1:$A$500&lt;=A1393)),Purchase!$G$1:$G$500)</f>
        <v/>
      </c>
      <c r="G1393" s="23">
        <f>+D1393*F1393</f>
        <v/>
      </c>
    </row>
    <row r="1394">
      <c r="A1394" s="8" t="n"/>
      <c r="B1394" s="8" t="n"/>
      <c r="C1394" s="21" t="n"/>
      <c r="D1394" s="22" t="n"/>
      <c r="E1394" s="22">
        <f>IFERROR(+VLOOKUP(C1394,Master!B:C,2,0),"")</f>
        <v/>
      </c>
      <c r="F1394" s="23">
        <f>LOOKUP(2,1/((Purchase!$D$1:$D$500=C1394)*(Purchase!$A$1:$A$500&lt;=A1394)),Purchase!$G$1:$G$500)</f>
        <v/>
      </c>
      <c r="G1394" s="23">
        <f>+D1394*F1394</f>
        <v/>
      </c>
    </row>
    <row r="1395">
      <c r="A1395" s="8" t="n"/>
      <c r="B1395" s="8" t="n"/>
      <c r="C1395" s="21" t="n"/>
      <c r="D1395" s="22" t="n"/>
      <c r="E1395" s="22">
        <f>IFERROR(+VLOOKUP(C1395,Master!B:C,2,0),"")</f>
        <v/>
      </c>
      <c r="F1395" s="23">
        <f>LOOKUP(2,1/((Purchase!$D$1:$D$500=C1395)*(Purchase!$A$1:$A$500&lt;=A1395)),Purchase!$G$1:$G$500)</f>
        <v/>
      </c>
      <c r="G1395" s="23">
        <f>+D1395*F1395</f>
        <v/>
      </c>
    </row>
    <row r="1396">
      <c r="A1396" s="8" t="n"/>
      <c r="B1396" s="8" t="n"/>
      <c r="C1396" s="21" t="n"/>
      <c r="D1396" s="22" t="n"/>
      <c r="E1396" s="22">
        <f>IFERROR(+VLOOKUP(C1396,Master!B:C,2,0),"")</f>
        <v/>
      </c>
      <c r="F1396" s="23">
        <f>LOOKUP(2,1/((Purchase!$D$1:$D$500=C1396)*(Purchase!$A$1:$A$500&lt;=A1396)),Purchase!$G$1:$G$500)</f>
        <v/>
      </c>
      <c r="G1396" s="23">
        <f>+D1396*F1396</f>
        <v/>
      </c>
    </row>
    <row r="1397">
      <c r="A1397" s="8" t="n"/>
      <c r="B1397" s="8" t="n"/>
      <c r="C1397" s="21" t="n"/>
      <c r="D1397" s="22" t="n"/>
      <c r="E1397" s="22">
        <f>IFERROR(+VLOOKUP(C1397,Master!B:C,2,0),"")</f>
        <v/>
      </c>
      <c r="F1397" s="23">
        <f>LOOKUP(2,1/((Purchase!$D$1:$D$500=C1397)*(Purchase!$A$1:$A$500&lt;=A1397)),Purchase!$G$1:$G$500)</f>
        <v/>
      </c>
      <c r="G1397" s="23">
        <f>+D1397*F1397</f>
        <v/>
      </c>
    </row>
    <row r="1398">
      <c r="A1398" s="8" t="n"/>
      <c r="B1398" s="8" t="n"/>
      <c r="C1398" s="21" t="n"/>
      <c r="D1398" s="22" t="n"/>
      <c r="E1398" s="22">
        <f>IFERROR(+VLOOKUP(C1398,Master!B:C,2,0),"")</f>
        <v/>
      </c>
      <c r="F1398" s="23">
        <f>LOOKUP(2,1/((Purchase!$D$1:$D$500=C1398)*(Purchase!$A$1:$A$500&lt;=A1398)),Purchase!$G$1:$G$500)</f>
        <v/>
      </c>
      <c r="G1398" s="23">
        <f>+D1398*F1398</f>
        <v/>
      </c>
    </row>
    <row r="1399">
      <c r="A1399" s="8" t="n"/>
      <c r="B1399" s="8" t="n"/>
      <c r="C1399" s="21" t="n"/>
      <c r="D1399" s="22" t="n"/>
      <c r="E1399" s="22">
        <f>IFERROR(+VLOOKUP(C1399,Master!B:C,2,0),"")</f>
        <v/>
      </c>
      <c r="F1399" s="23">
        <f>LOOKUP(2,1/((Purchase!$D$1:$D$500=C1399)*(Purchase!$A$1:$A$500&lt;=A1399)),Purchase!$G$1:$G$500)</f>
        <v/>
      </c>
      <c r="G1399" s="23">
        <f>+D1399*F1399</f>
        <v/>
      </c>
    </row>
    <row r="1400">
      <c r="A1400" s="8" t="n"/>
      <c r="B1400" s="8" t="n"/>
      <c r="C1400" s="21" t="n"/>
      <c r="D1400" s="22" t="n"/>
      <c r="E1400" s="22">
        <f>IFERROR(+VLOOKUP(C1400,Master!B:C,2,0),"")</f>
        <v/>
      </c>
      <c r="F1400" s="23">
        <f>LOOKUP(2,1/((Purchase!$D$1:$D$500=C1400)*(Purchase!$A$1:$A$500&lt;=A1400)),Purchase!$G$1:$G$500)</f>
        <v/>
      </c>
      <c r="G1400" s="23">
        <f>+D1400*F1400</f>
        <v/>
      </c>
    </row>
    <row r="1401">
      <c r="A1401" s="8" t="n"/>
      <c r="B1401" s="8" t="n"/>
      <c r="C1401" s="21" t="n"/>
      <c r="D1401" s="22" t="n"/>
      <c r="E1401" s="22">
        <f>IFERROR(+VLOOKUP(C1401,Master!B:C,2,0),"")</f>
        <v/>
      </c>
      <c r="F1401" s="23">
        <f>LOOKUP(2,1/((Purchase!$D$1:$D$500=C1401)*(Purchase!$A$1:$A$500&lt;=A1401)),Purchase!$G$1:$G$500)</f>
        <v/>
      </c>
      <c r="G1401" s="23">
        <f>+D1401*F1401</f>
        <v/>
      </c>
    </row>
    <row r="1402">
      <c r="A1402" s="8" t="n"/>
      <c r="B1402" s="8" t="n"/>
      <c r="C1402" s="21" t="n"/>
      <c r="D1402" s="22" t="n"/>
      <c r="E1402" s="22">
        <f>IFERROR(+VLOOKUP(C1402,Master!B:C,2,0),"")</f>
        <v/>
      </c>
      <c r="F1402" s="23">
        <f>LOOKUP(2,1/((Purchase!$D$1:$D$500=C1402)*(Purchase!$A$1:$A$500&lt;=A1402)),Purchase!$G$1:$G$500)</f>
        <v/>
      </c>
      <c r="G1402" s="23">
        <f>+D1402*F1402</f>
        <v/>
      </c>
    </row>
    <row r="1403">
      <c r="A1403" s="8" t="n"/>
      <c r="B1403" s="8" t="n"/>
      <c r="C1403" s="21" t="n"/>
      <c r="D1403" s="22" t="n"/>
      <c r="E1403" s="22">
        <f>IFERROR(+VLOOKUP(C1403,Master!B:C,2,0),"")</f>
        <v/>
      </c>
      <c r="F1403" s="23">
        <f>LOOKUP(2,1/((Purchase!$D$1:$D$500=C1403)*(Purchase!$A$1:$A$500&lt;=A1403)),Purchase!$G$1:$G$500)</f>
        <v/>
      </c>
      <c r="G1403" s="23">
        <f>+D1403*F1403</f>
        <v/>
      </c>
    </row>
    <row r="1404">
      <c r="A1404" s="8" t="n"/>
      <c r="B1404" s="8" t="n"/>
      <c r="C1404" s="21" t="n"/>
      <c r="D1404" s="22" t="n"/>
      <c r="E1404" s="22">
        <f>IFERROR(+VLOOKUP(C1404,Master!B:C,2,0),"")</f>
        <v/>
      </c>
      <c r="F1404" s="23">
        <f>LOOKUP(2,1/((Purchase!$D$1:$D$500=C1404)*(Purchase!$A$1:$A$500&lt;=A1404)),Purchase!$G$1:$G$500)</f>
        <v/>
      </c>
      <c r="G1404" s="23">
        <f>+D1404*F1404</f>
        <v/>
      </c>
    </row>
    <row r="1405">
      <c r="A1405" s="8" t="n"/>
      <c r="B1405" s="8" t="n"/>
      <c r="C1405" s="21" t="n"/>
      <c r="D1405" s="22" t="n"/>
      <c r="E1405" s="22">
        <f>IFERROR(+VLOOKUP(C1405,Master!B:C,2,0),"")</f>
        <v/>
      </c>
      <c r="F1405" s="23">
        <f>LOOKUP(2,1/((Purchase!$D$1:$D$500=C1405)*(Purchase!$A$1:$A$500&lt;=A1405)),Purchase!$G$1:$G$500)</f>
        <v/>
      </c>
      <c r="G1405" s="23">
        <f>+D1405*F1405</f>
        <v/>
      </c>
    </row>
    <row r="1406">
      <c r="A1406" s="8" t="n"/>
      <c r="B1406" s="8" t="n"/>
      <c r="C1406" s="21" t="n"/>
      <c r="D1406" s="22" t="n"/>
      <c r="E1406" s="22">
        <f>IFERROR(+VLOOKUP(C1406,Master!B:C,2,0),"")</f>
        <v/>
      </c>
      <c r="F1406" s="23">
        <f>LOOKUP(2,1/((Purchase!$D$1:$D$500=C1406)*(Purchase!$A$1:$A$500&lt;=A1406)),Purchase!$G$1:$G$500)</f>
        <v/>
      </c>
      <c r="G1406" s="23">
        <f>+D1406*F1406</f>
        <v/>
      </c>
    </row>
    <row r="1407">
      <c r="A1407" s="8" t="n"/>
      <c r="B1407" s="8" t="n"/>
      <c r="C1407" s="21" t="n"/>
      <c r="D1407" s="22" t="n"/>
      <c r="E1407" s="22">
        <f>IFERROR(+VLOOKUP(C1407,Master!B:C,2,0),"")</f>
        <v/>
      </c>
      <c r="F1407" s="23">
        <f>LOOKUP(2,1/((Purchase!$D$1:$D$500=C1407)*(Purchase!$A$1:$A$500&lt;=A1407)),Purchase!$G$1:$G$500)</f>
        <v/>
      </c>
      <c r="G1407" s="23">
        <f>+D1407*F1407</f>
        <v/>
      </c>
    </row>
    <row r="1408">
      <c r="A1408" s="8" t="n"/>
      <c r="B1408" s="8" t="n"/>
      <c r="C1408" s="21" t="n"/>
      <c r="D1408" s="22" t="n"/>
      <c r="E1408" s="22">
        <f>IFERROR(+VLOOKUP(C1408,Master!B:C,2,0),"")</f>
        <v/>
      </c>
      <c r="F1408" s="23">
        <f>LOOKUP(2,1/((Purchase!$D$1:$D$500=C1408)*(Purchase!$A$1:$A$500&lt;=A1408)),Purchase!$G$1:$G$500)</f>
        <v/>
      </c>
      <c r="G1408" s="23">
        <f>+D1408*F1408</f>
        <v/>
      </c>
    </row>
    <row r="1409">
      <c r="A1409" s="8" t="n"/>
      <c r="B1409" s="8" t="n"/>
      <c r="C1409" s="21" t="n"/>
      <c r="D1409" s="22" t="n"/>
      <c r="E1409" s="22">
        <f>IFERROR(+VLOOKUP(C1409,Master!B:C,2,0),"")</f>
        <v/>
      </c>
      <c r="F1409" s="23">
        <f>LOOKUP(2,1/((Purchase!$D$1:$D$500=C1409)*(Purchase!$A$1:$A$500&lt;=A1409)),Purchase!$G$1:$G$500)</f>
        <v/>
      </c>
      <c r="G1409" s="23">
        <f>+D1409*F1409</f>
        <v/>
      </c>
    </row>
    <row r="1410">
      <c r="A1410" s="8" t="n"/>
      <c r="B1410" s="8" t="n"/>
      <c r="C1410" s="21" t="n"/>
      <c r="D1410" s="22" t="n"/>
      <c r="E1410" s="22">
        <f>IFERROR(+VLOOKUP(C1410,Master!B:C,2,0),"")</f>
        <v/>
      </c>
      <c r="F1410" s="23">
        <f>LOOKUP(2,1/((Purchase!$D$1:$D$500=C1410)*(Purchase!$A$1:$A$500&lt;=A1410)),Purchase!$G$1:$G$500)</f>
        <v/>
      </c>
      <c r="G1410" s="23">
        <f>+D1410*F1410</f>
        <v/>
      </c>
    </row>
    <row r="1411">
      <c r="A1411" s="8" t="n"/>
      <c r="B1411" s="8" t="n"/>
      <c r="C1411" s="21" t="n"/>
      <c r="D1411" s="22" t="n"/>
      <c r="E1411" s="22">
        <f>IFERROR(+VLOOKUP(C1411,Master!B:C,2,0),"")</f>
        <v/>
      </c>
      <c r="F1411" s="23">
        <f>LOOKUP(2,1/((Purchase!$D$1:$D$500=C1411)*(Purchase!$A$1:$A$500&lt;=A1411)),Purchase!$G$1:$G$500)</f>
        <v/>
      </c>
      <c r="G1411" s="23">
        <f>+D1411*F1411</f>
        <v/>
      </c>
    </row>
    <row r="1412">
      <c r="A1412" s="8" t="n"/>
      <c r="B1412" s="8" t="n"/>
      <c r="C1412" s="21" t="n"/>
      <c r="D1412" s="22" t="n"/>
      <c r="E1412" s="22">
        <f>IFERROR(+VLOOKUP(C1412,Master!B:C,2,0),"")</f>
        <v/>
      </c>
      <c r="F1412" s="23">
        <f>LOOKUP(2,1/((Purchase!$D$1:$D$500=C1412)*(Purchase!$A$1:$A$500&lt;=A1412)),Purchase!$G$1:$G$500)</f>
        <v/>
      </c>
      <c r="G1412" s="23">
        <f>+D1412*F1412</f>
        <v/>
      </c>
    </row>
    <row r="1413">
      <c r="A1413" s="8" t="n"/>
      <c r="B1413" s="8" t="n"/>
      <c r="C1413" s="21" t="n"/>
      <c r="D1413" s="22" t="n"/>
      <c r="E1413" s="22">
        <f>IFERROR(+VLOOKUP(C1413,Master!B:C,2,0),"")</f>
        <v/>
      </c>
      <c r="F1413" s="23">
        <f>LOOKUP(2,1/((Purchase!$D$1:$D$500=C1413)*(Purchase!$A$1:$A$500&lt;=A1413)),Purchase!$G$1:$G$500)</f>
        <v/>
      </c>
      <c r="G1413" s="23">
        <f>+D1413*F1413</f>
        <v/>
      </c>
    </row>
    <row r="1414">
      <c r="A1414" s="8" t="n"/>
      <c r="B1414" s="8" t="n"/>
      <c r="C1414" s="21" t="n"/>
      <c r="D1414" s="22" t="n"/>
      <c r="E1414" s="22">
        <f>IFERROR(+VLOOKUP(C1414,Master!B:C,2,0),"")</f>
        <v/>
      </c>
      <c r="F1414" s="23">
        <f>LOOKUP(2,1/((Purchase!$D$1:$D$500=C1414)*(Purchase!$A$1:$A$500&lt;=A1414)),Purchase!$G$1:$G$500)</f>
        <v/>
      </c>
      <c r="G1414" s="23">
        <f>+D1414*F1414</f>
        <v/>
      </c>
    </row>
    <row r="1415">
      <c r="A1415" s="8" t="n"/>
      <c r="B1415" s="8" t="n"/>
      <c r="C1415" s="21" t="n"/>
      <c r="D1415" s="22" t="n"/>
      <c r="E1415" s="22">
        <f>IFERROR(+VLOOKUP(C1415,Master!B:C,2,0),"")</f>
        <v/>
      </c>
      <c r="F1415" s="23">
        <f>LOOKUP(2,1/((Purchase!$D$1:$D$500=C1415)*(Purchase!$A$1:$A$500&lt;=A1415)),Purchase!$G$1:$G$500)</f>
        <v/>
      </c>
      <c r="G1415" s="23">
        <f>+D1415*F1415</f>
        <v/>
      </c>
    </row>
    <row r="1416">
      <c r="A1416" s="8" t="n"/>
      <c r="B1416" s="8" t="n"/>
      <c r="C1416" s="21" t="n"/>
      <c r="D1416" s="22" t="n"/>
      <c r="E1416" s="22">
        <f>IFERROR(+VLOOKUP(C1416,Master!B:C,2,0),"")</f>
        <v/>
      </c>
      <c r="F1416" s="23">
        <f>LOOKUP(2,1/((Purchase!$D$1:$D$500=C1416)*(Purchase!$A$1:$A$500&lt;=A1416)),Purchase!$G$1:$G$500)</f>
        <v/>
      </c>
      <c r="G1416" s="23">
        <f>+D1416*F1416</f>
        <v/>
      </c>
    </row>
    <row r="1417">
      <c r="A1417" s="8" t="n"/>
      <c r="B1417" s="8" t="n"/>
      <c r="C1417" s="21" t="n"/>
      <c r="D1417" s="22" t="n"/>
      <c r="E1417" s="22">
        <f>IFERROR(+VLOOKUP(C1417,Master!B:C,2,0),"")</f>
        <v/>
      </c>
      <c r="F1417" s="23">
        <f>LOOKUP(2,1/((Purchase!$D$1:$D$500=C1417)*(Purchase!$A$1:$A$500&lt;=A1417)),Purchase!$G$1:$G$500)</f>
        <v/>
      </c>
      <c r="G1417" s="23">
        <f>+D1417*F1417</f>
        <v/>
      </c>
    </row>
    <row r="1418">
      <c r="A1418" s="8" t="n"/>
      <c r="B1418" s="8" t="n"/>
      <c r="C1418" s="21" t="n"/>
      <c r="D1418" s="22" t="n"/>
      <c r="E1418" s="22">
        <f>IFERROR(+VLOOKUP(C1418,Master!B:C,2,0),"")</f>
        <v/>
      </c>
      <c r="F1418" s="23">
        <f>LOOKUP(2,1/((Purchase!$D$1:$D$500=C1418)*(Purchase!$A$1:$A$500&lt;=A1418)),Purchase!$G$1:$G$500)</f>
        <v/>
      </c>
      <c r="G1418" s="23">
        <f>+D1418*F1418</f>
        <v/>
      </c>
    </row>
    <row r="1419">
      <c r="A1419" s="8" t="n"/>
      <c r="B1419" s="8" t="n"/>
      <c r="C1419" s="21" t="n"/>
      <c r="D1419" s="22" t="n"/>
      <c r="E1419" s="22">
        <f>IFERROR(+VLOOKUP(C1419,Master!B:C,2,0),"")</f>
        <v/>
      </c>
      <c r="F1419" s="23">
        <f>LOOKUP(2,1/((Purchase!$D$1:$D$500=C1419)*(Purchase!$A$1:$A$500&lt;=A1419)),Purchase!$G$1:$G$500)</f>
        <v/>
      </c>
      <c r="G1419" s="23">
        <f>+D1419*F1419</f>
        <v/>
      </c>
    </row>
    <row r="1420">
      <c r="A1420" s="8" t="n"/>
      <c r="B1420" s="8" t="n"/>
      <c r="C1420" s="21" t="n"/>
      <c r="D1420" s="22" t="n"/>
      <c r="E1420" s="22">
        <f>IFERROR(+VLOOKUP(C1420,Master!B:C,2,0),"")</f>
        <v/>
      </c>
      <c r="F1420" s="23">
        <f>LOOKUP(2,1/((Purchase!$D$1:$D$500=C1420)*(Purchase!$A$1:$A$500&lt;=A1420)),Purchase!$G$1:$G$500)</f>
        <v/>
      </c>
      <c r="G1420" s="23">
        <f>+D1420*F1420</f>
        <v/>
      </c>
    </row>
    <row r="1421">
      <c r="A1421" s="8" t="n"/>
      <c r="B1421" s="8" t="n"/>
      <c r="C1421" s="21" t="n"/>
      <c r="D1421" s="22" t="n"/>
      <c r="E1421" s="22">
        <f>IFERROR(+VLOOKUP(C1421,Master!B:C,2,0),"")</f>
        <v/>
      </c>
      <c r="F1421" s="23">
        <f>LOOKUP(2,1/((Purchase!$D$1:$D$500=C1421)*(Purchase!$A$1:$A$500&lt;=A1421)),Purchase!$G$1:$G$500)</f>
        <v/>
      </c>
      <c r="G1421" s="23">
        <f>+D1421*F1421</f>
        <v/>
      </c>
    </row>
    <row r="1422">
      <c r="A1422" s="8" t="n"/>
      <c r="B1422" s="8" t="n"/>
      <c r="C1422" s="21" t="n"/>
      <c r="D1422" s="22" t="n"/>
      <c r="E1422" s="22">
        <f>IFERROR(+VLOOKUP(C1422,Master!B:C,2,0),"")</f>
        <v/>
      </c>
      <c r="F1422" s="23">
        <f>LOOKUP(2,1/((Purchase!$D$1:$D$500=C1422)*(Purchase!$A$1:$A$500&lt;=A1422)),Purchase!$G$1:$G$500)</f>
        <v/>
      </c>
      <c r="G1422" s="23">
        <f>+D1422*F1422</f>
        <v/>
      </c>
    </row>
    <row r="1423">
      <c r="A1423" s="8" t="n"/>
      <c r="B1423" s="8" t="n"/>
      <c r="C1423" s="21" t="n"/>
      <c r="D1423" s="22" t="n"/>
      <c r="E1423" s="22">
        <f>IFERROR(+VLOOKUP(C1423,Master!B:C,2,0),"")</f>
        <v/>
      </c>
      <c r="F1423" s="23">
        <f>LOOKUP(2,1/((Purchase!$D$1:$D$500=C1423)*(Purchase!$A$1:$A$500&lt;=A1423)),Purchase!$G$1:$G$500)</f>
        <v/>
      </c>
      <c r="G1423" s="23">
        <f>+D1423*F1423</f>
        <v/>
      </c>
    </row>
    <row r="1424">
      <c r="A1424" s="8" t="n"/>
      <c r="B1424" s="8" t="n"/>
      <c r="C1424" s="21" t="n"/>
      <c r="D1424" s="22" t="n"/>
      <c r="E1424" s="22">
        <f>IFERROR(+VLOOKUP(C1424,Master!B:C,2,0),"")</f>
        <v/>
      </c>
      <c r="F1424" s="23">
        <f>LOOKUP(2,1/((Purchase!$D$1:$D$500=C1424)*(Purchase!$A$1:$A$500&lt;=A1424)),Purchase!$G$1:$G$500)</f>
        <v/>
      </c>
      <c r="G1424" s="23">
        <f>+D1424*F1424</f>
        <v/>
      </c>
    </row>
    <row r="1425">
      <c r="A1425" s="8" t="n"/>
      <c r="B1425" s="8" t="n"/>
      <c r="C1425" s="21" t="n"/>
      <c r="D1425" s="22" t="n"/>
      <c r="E1425" s="22">
        <f>IFERROR(+VLOOKUP(C1425,Master!B:C,2,0),"")</f>
        <v/>
      </c>
      <c r="F1425" s="23">
        <f>LOOKUP(2,1/((Purchase!$D$1:$D$500=C1425)*(Purchase!$A$1:$A$500&lt;=A1425)),Purchase!$G$1:$G$500)</f>
        <v/>
      </c>
      <c r="G1425" s="23">
        <f>+D1425*F1425</f>
        <v/>
      </c>
    </row>
    <row r="1426">
      <c r="A1426" s="8" t="n"/>
      <c r="B1426" s="8" t="n"/>
      <c r="C1426" s="21" t="n"/>
      <c r="D1426" s="22" t="n"/>
      <c r="E1426" s="22">
        <f>IFERROR(+VLOOKUP(C1426,Master!B:C,2,0),"")</f>
        <v/>
      </c>
      <c r="F1426" s="23">
        <f>LOOKUP(2,1/((Purchase!$D$1:$D$500=C1426)*(Purchase!$A$1:$A$500&lt;=A1426)),Purchase!$G$1:$G$500)</f>
        <v/>
      </c>
      <c r="G1426" s="23">
        <f>+D1426*F1426</f>
        <v/>
      </c>
    </row>
    <row r="1427">
      <c r="A1427" s="8" t="n"/>
      <c r="B1427" s="8" t="n"/>
      <c r="C1427" s="21" t="n"/>
      <c r="D1427" s="22" t="n"/>
      <c r="E1427" s="22">
        <f>IFERROR(+VLOOKUP(C1427,Master!B:C,2,0),"")</f>
        <v/>
      </c>
      <c r="F1427" s="23">
        <f>LOOKUP(2,1/((Purchase!$D$1:$D$500=C1427)*(Purchase!$A$1:$A$500&lt;=A1427)),Purchase!$G$1:$G$500)</f>
        <v/>
      </c>
      <c r="G1427" s="23">
        <f>+D1427*F1427</f>
        <v/>
      </c>
    </row>
    <row r="1428">
      <c r="A1428" s="8" t="n"/>
      <c r="B1428" s="8" t="n"/>
      <c r="C1428" s="21" t="n"/>
      <c r="D1428" s="22" t="n"/>
      <c r="E1428" s="22">
        <f>IFERROR(+VLOOKUP(C1428,Master!B:C,2,0),"")</f>
        <v/>
      </c>
      <c r="F1428" s="23">
        <f>LOOKUP(2,1/((Purchase!$D$1:$D$500=C1428)*(Purchase!$A$1:$A$500&lt;=A1428)),Purchase!$G$1:$G$500)</f>
        <v/>
      </c>
      <c r="G1428" s="23">
        <f>+D1428*F1428</f>
        <v/>
      </c>
    </row>
    <row r="1429">
      <c r="A1429" s="8" t="n"/>
      <c r="B1429" s="8" t="n"/>
      <c r="C1429" s="21" t="n"/>
      <c r="D1429" s="22" t="n"/>
      <c r="E1429" s="22">
        <f>IFERROR(+VLOOKUP(C1429,Master!B:C,2,0),"")</f>
        <v/>
      </c>
      <c r="F1429" s="23">
        <f>LOOKUP(2,1/((Purchase!$D$1:$D$500=C1429)*(Purchase!$A$1:$A$500&lt;=A1429)),Purchase!$G$1:$G$500)</f>
        <v/>
      </c>
      <c r="G1429" s="23">
        <f>+D1429*F1429</f>
        <v/>
      </c>
    </row>
    <row r="1430">
      <c r="A1430" s="8" t="n"/>
      <c r="B1430" s="8" t="n"/>
      <c r="C1430" s="21" t="n"/>
      <c r="D1430" s="22" t="n"/>
      <c r="E1430" s="22">
        <f>IFERROR(+VLOOKUP(C1430,Master!B:C,2,0),"")</f>
        <v/>
      </c>
      <c r="F1430" s="23">
        <f>LOOKUP(2,1/((Purchase!$D$1:$D$500=C1430)*(Purchase!$A$1:$A$500&lt;=A1430)),Purchase!$G$1:$G$500)</f>
        <v/>
      </c>
      <c r="G1430" s="23">
        <f>+D1430*F1430</f>
        <v/>
      </c>
    </row>
    <row r="1431">
      <c r="A1431" s="8" t="n"/>
      <c r="B1431" s="8" t="n"/>
      <c r="C1431" s="21" t="n"/>
      <c r="D1431" s="22" t="n"/>
      <c r="E1431" s="22">
        <f>IFERROR(+VLOOKUP(C1431,Master!B:C,2,0),"")</f>
        <v/>
      </c>
      <c r="F1431" s="23">
        <f>LOOKUP(2,1/((Purchase!$D$1:$D$500=C1431)*(Purchase!$A$1:$A$500&lt;=A1431)),Purchase!$G$1:$G$500)</f>
        <v/>
      </c>
      <c r="G1431" s="23">
        <f>+D1431*F1431</f>
        <v/>
      </c>
    </row>
    <row r="1432">
      <c r="A1432" s="8" t="n"/>
      <c r="B1432" s="8" t="n"/>
      <c r="C1432" s="21" t="n"/>
      <c r="D1432" s="22" t="n"/>
      <c r="E1432" s="22">
        <f>IFERROR(+VLOOKUP(C1432,Master!B:C,2,0),"")</f>
        <v/>
      </c>
      <c r="F1432" s="23">
        <f>LOOKUP(2,1/((Purchase!$D$1:$D$500=C1432)*(Purchase!$A$1:$A$500&lt;=A1432)),Purchase!$G$1:$G$500)</f>
        <v/>
      </c>
      <c r="G1432" s="23">
        <f>+D1432*F1432</f>
        <v/>
      </c>
    </row>
    <row r="1433">
      <c r="A1433" s="8" t="n"/>
      <c r="B1433" s="8" t="n"/>
      <c r="C1433" s="21" t="n"/>
      <c r="D1433" s="22" t="n"/>
      <c r="E1433" s="22">
        <f>IFERROR(+VLOOKUP(C1433,Master!B:C,2,0),"")</f>
        <v/>
      </c>
      <c r="F1433" s="23">
        <f>LOOKUP(2,1/((Purchase!$D$1:$D$500=C1433)*(Purchase!$A$1:$A$500&lt;=A1433)),Purchase!$G$1:$G$500)</f>
        <v/>
      </c>
      <c r="G1433" s="23">
        <f>+D1433*F1433</f>
        <v/>
      </c>
    </row>
    <row r="1434">
      <c r="A1434" s="8" t="n"/>
      <c r="B1434" s="8" t="n"/>
      <c r="C1434" s="21" t="n"/>
      <c r="D1434" s="22" t="n"/>
      <c r="E1434" s="22">
        <f>IFERROR(+VLOOKUP(C1434,Master!B:C,2,0),"")</f>
        <v/>
      </c>
      <c r="F1434" s="23">
        <f>LOOKUP(2,1/((Purchase!$D$1:$D$500=C1434)*(Purchase!$A$1:$A$500&lt;=A1434)),Purchase!$G$1:$G$500)</f>
        <v/>
      </c>
      <c r="G1434" s="23">
        <f>+D1434*F1434</f>
        <v/>
      </c>
    </row>
    <row r="1435">
      <c r="A1435" s="8" t="n"/>
      <c r="B1435" s="8" t="n"/>
      <c r="C1435" s="21" t="n"/>
      <c r="D1435" s="22" t="n"/>
      <c r="E1435" s="22">
        <f>IFERROR(+VLOOKUP(C1435,Master!B:C,2,0),"")</f>
        <v/>
      </c>
      <c r="F1435" s="23">
        <f>LOOKUP(2,1/((Purchase!$D$1:$D$500=C1435)*(Purchase!$A$1:$A$500&lt;=A1435)),Purchase!$G$1:$G$500)</f>
        <v/>
      </c>
      <c r="G1435" s="23">
        <f>+D1435*F1435</f>
        <v/>
      </c>
    </row>
    <row r="1436">
      <c r="A1436" s="8" t="n"/>
      <c r="B1436" s="8" t="n"/>
      <c r="C1436" s="21" t="n"/>
      <c r="D1436" s="22" t="n"/>
      <c r="E1436" s="22">
        <f>IFERROR(+VLOOKUP(C1436,Master!B:C,2,0),"")</f>
        <v/>
      </c>
      <c r="F1436" s="23">
        <f>LOOKUP(2,1/((Purchase!$D$1:$D$500=C1436)*(Purchase!$A$1:$A$500&lt;=A1436)),Purchase!$G$1:$G$500)</f>
        <v/>
      </c>
      <c r="G1436" s="23">
        <f>+D1436*F1436</f>
        <v/>
      </c>
    </row>
    <row r="1437">
      <c r="A1437" s="8" t="n"/>
      <c r="B1437" s="8" t="n"/>
      <c r="C1437" s="21" t="n"/>
      <c r="D1437" s="22" t="n"/>
      <c r="E1437" s="22">
        <f>IFERROR(+VLOOKUP(C1437,Master!B:C,2,0),"")</f>
        <v/>
      </c>
      <c r="F1437" s="23">
        <f>LOOKUP(2,1/((Purchase!$D$1:$D$500=C1437)*(Purchase!$A$1:$A$500&lt;=A1437)),Purchase!$G$1:$G$500)</f>
        <v/>
      </c>
      <c r="G1437" s="23">
        <f>+D1437*F1437</f>
        <v/>
      </c>
    </row>
    <row r="1438">
      <c r="A1438" s="8" t="n"/>
      <c r="B1438" s="8" t="n"/>
      <c r="C1438" s="21" t="n"/>
      <c r="D1438" s="22" t="n"/>
      <c r="E1438" s="22">
        <f>IFERROR(+VLOOKUP(C1438,Master!B:C,2,0),"")</f>
        <v/>
      </c>
      <c r="F1438" s="23">
        <f>LOOKUP(2,1/((Purchase!$D$1:$D$500=C1438)*(Purchase!$A$1:$A$500&lt;=A1438)),Purchase!$G$1:$G$500)</f>
        <v/>
      </c>
      <c r="G1438" s="23">
        <f>+D1438*F1438</f>
        <v/>
      </c>
    </row>
    <row r="1439">
      <c r="A1439" s="8" t="n"/>
      <c r="B1439" s="8" t="n"/>
      <c r="C1439" s="21" t="n"/>
      <c r="D1439" s="22" t="n"/>
      <c r="E1439" s="22">
        <f>IFERROR(+VLOOKUP(C1439,Master!B:C,2,0),"")</f>
        <v/>
      </c>
      <c r="F1439" s="23">
        <f>LOOKUP(2,1/((Purchase!$D$1:$D$500=C1439)*(Purchase!$A$1:$A$500&lt;=A1439)),Purchase!$G$1:$G$500)</f>
        <v/>
      </c>
      <c r="G1439" s="23">
        <f>+D1439*F1439</f>
        <v/>
      </c>
    </row>
    <row r="1440">
      <c r="A1440" s="8" t="n"/>
      <c r="B1440" s="8" t="n"/>
      <c r="C1440" s="21" t="n"/>
      <c r="D1440" s="22" t="n"/>
      <c r="E1440" s="22">
        <f>IFERROR(+VLOOKUP(C1440,Master!B:C,2,0),"")</f>
        <v/>
      </c>
      <c r="F1440" s="23">
        <f>LOOKUP(2,1/((Purchase!$D$1:$D$500=C1440)*(Purchase!$A$1:$A$500&lt;=A1440)),Purchase!$G$1:$G$500)</f>
        <v/>
      </c>
      <c r="G1440" s="23">
        <f>+D1440*F1440</f>
        <v/>
      </c>
    </row>
    <row r="1441">
      <c r="A1441" s="8" t="n"/>
      <c r="B1441" s="8" t="n"/>
      <c r="C1441" s="21" t="n"/>
      <c r="D1441" s="22" t="n"/>
      <c r="E1441" s="22">
        <f>IFERROR(+VLOOKUP(C1441,Master!B:C,2,0),"")</f>
        <v/>
      </c>
      <c r="F1441" s="23">
        <f>LOOKUP(2,1/((Purchase!$D$1:$D$500=C1441)*(Purchase!$A$1:$A$500&lt;=A1441)),Purchase!$G$1:$G$500)</f>
        <v/>
      </c>
      <c r="G1441" s="23">
        <f>+D1441*F1441</f>
        <v/>
      </c>
    </row>
    <row r="1442">
      <c r="A1442" s="8" t="n"/>
      <c r="B1442" s="8" t="n"/>
      <c r="C1442" s="21" t="n"/>
      <c r="D1442" s="22" t="n"/>
      <c r="E1442" s="22">
        <f>IFERROR(+VLOOKUP(C1442,Master!B:C,2,0),"")</f>
        <v/>
      </c>
      <c r="F1442" s="23">
        <f>LOOKUP(2,1/((Purchase!$D$1:$D$500=C1442)*(Purchase!$A$1:$A$500&lt;=A1442)),Purchase!$G$1:$G$500)</f>
        <v/>
      </c>
      <c r="G1442" s="23">
        <f>+D1442*F1442</f>
        <v/>
      </c>
    </row>
    <row r="1443">
      <c r="A1443" s="8" t="n"/>
      <c r="B1443" s="8" t="n"/>
      <c r="C1443" s="21" t="n"/>
      <c r="D1443" s="22" t="n"/>
      <c r="E1443" s="22">
        <f>IFERROR(+VLOOKUP(C1443,Master!B:C,2,0),"")</f>
        <v/>
      </c>
      <c r="F1443" s="23">
        <f>LOOKUP(2,1/((Purchase!$D$1:$D$500=C1443)*(Purchase!$A$1:$A$500&lt;=A1443)),Purchase!$G$1:$G$500)</f>
        <v/>
      </c>
      <c r="G1443" s="23">
        <f>+D1443*F1443</f>
        <v/>
      </c>
    </row>
    <row r="1444">
      <c r="A1444" s="8" t="n"/>
      <c r="B1444" s="8" t="n"/>
      <c r="C1444" s="21" t="n"/>
      <c r="D1444" s="22" t="n"/>
      <c r="E1444" s="22">
        <f>IFERROR(+VLOOKUP(C1444,Master!B:C,2,0),"")</f>
        <v/>
      </c>
      <c r="F1444" s="23">
        <f>LOOKUP(2,1/((Purchase!$D$1:$D$500=C1444)*(Purchase!$A$1:$A$500&lt;=A1444)),Purchase!$G$1:$G$500)</f>
        <v/>
      </c>
      <c r="G1444" s="23">
        <f>+D1444*F1444</f>
        <v/>
      </c>
    </row>
    <row r="1445">
      <c r="A1445" s="8" t="n"/>
      <c r="B1445" s="8" t="n"/>
      <c r="C1445" s="21" t="n"/>
      <c r="D1445" s="22" t="n"/>
      <c r="E1445" s="22">
        <f>IFERROR(+VLOOKUP(C1445,Master!B:C,2,0),"")</f>
        <v/>
      </c>
      <c r="F1445" s="23">
        <f>LOOKUP(2,1/((Purchase!$D$1:$D$500=C1445)*(Purchase!$A$1:$A$500&lt;=A1445)),Purchase!$G$1:$G$500)</f>
        <v/>
      </c>
      <c r="G1445" s="23">
        <f>+D1445*F1445</f>
        <v/>
      </c>
    </row>
    <row r="1446">
      <c r="A1446" s="8" t="n"/>
      <c r="B1446" s="8" t="n"/>
      <c r="C1446" s="21" t="n"/>
      <c r="D1446" s="22" t="n"/>
      <c r="E1446" s="22">
        <f>IFERROR(+VLOOKUP(C1446,Master!B:C,2,0),"")</f>
        <v/>
      </c>
      <c r="F1446" s="23">
        <f>LOOKUP(2,1/((Purchase!$D$1:$D$500=C1446)*(Purchase!$A$1:$A$500&lt;=A1446)),Purchase!$G$1:$G$500)</f>
        <v/>
      </c>
      <c r="G1446" s="23">
        <f>+D1446*F1446</f>
        <v/>
      </c>
    </row>
    <row r="1447">
      <c r="A1447" s="8" t="n"/>
      <c r="B1447" s="8" t="n"/>
      <c r="C1447" s="21" t="n"/>
      <c r="D1447" s="22" t="n"/>
      <c r="E1447" s="22">
        <f>IFERROR(+VLOOKUP(C1447,Master!B:C,2,0),"")</f>
        <v/>
      </c>
      <c r="F1447" s="23">
        <f>LOOKUP(2,1/((Purchase!$D$1:$D$500=C1447)*(Purchase!$A$1:$A$500&lt;=A1447)),Purchase!$G$1:$G$500)</f>
        <v/>
      </c>
      <c r="G1447" s="23">
        <f>+D1447*F1447</f>
        <v/>
      </c>
    </row>
    <row r="1448">
      <c r="A1448" s="8" t="n"/>
      <c r="B1448" s="8" t="n"/>
      <c r="C1448" s="21" t="n"/>
      <c r="D1448" s="22" t="n"/>
      <c r="E1448" s="22">
        <f>IFERROR(+VLOOKUP(C1448,Master!B:C,2,0),"")</f>
        <v/>
      </c>
      <c r="F1448" s="23">
        <f>LOOKUP(2,1/((Purchase!$D$1:$D$500=C1448)*(Purchase!$A$1:$A$500&lt;=A1448)),Purchase!$G$1:$G$500)</f>
        <v/>
      </c>
      <c r="G1448" s="23">
        <f>+D1448*F1448</f>
        <v/>
      </c>
    </row>
    <row r="1449">
      <c r="A1449" s="8" t="n"/>
      <c r="B1449" s="8" t="n"/>
      <c r="C1449" s="21" t="n"/>
      <c r="D1449" s="22" t="n"/>
      <c r="E1449" s="22">
        <f>IFERROR(+VLOOKUP(C1449,Master!B:C,2,0),"")</f>
        <v/>
      </c>
      <c r="F1449" s="23">
        <f>LOOKUP(2,1/((Purchase!$D$1:$D$500=C1449)*(Purchase!$A$1:$A$500&lt;=A1449)),Purchase!$G$1:$G$500)</f>
        <v/>
      </c>
      <c r="G1449" s="23">
        <f>+D1449*F1449</f>
        <v/>
      </c>
    </row>
    <row r="1450">
      <c r="A1450" s="8" t="n"/>
      <c r="B1450" s="8" t="n"/>
      <c r="C1450" s="21" t="n"/>
      <c r="D1450" s="22" t="n"/>
      <c r="E1450" s="22">
        <f>IFERROR(+VLOOKUP(C1450,Master!B:C,2,0),"")</f>
        <v/>
      </c>
      <c r="F1450" s="23">
        <f>LOOKUP(2,1/((Purchase!$D$1:$D$500=C1450)*(Purchase!$A$1:$A$500&lt;=A1450)),Purchase!$G$1:$G$500)</f>
        <v/>
      </c>
      <c r="G1450" s="23">
        <f>+D1450*F1450</f>
        <v/>
      </c>
    </row>
    <row r="1451">
      <c r="A1451" s="8" t="n"/>
      <c r="B1451" s="8" t="n"/>
      <c r="C1451" s="21" t="n"/>
      <c r="D1451" s="22" t="n"/>
      <c r="E1451" s="22">
        <f>IFERROR(+VLOOKUP(C1451,Master!B:C,2,0),"")</f>
        <v/>
      </c>
      <c r="F1451" s="23">
        <f>LOOKUP(2,1/((Purchase!$D$1:$D$500=C1451)*(Purchase!$A$1:$A$500&lt;=A1451)),Purchase!$G$1:$G$500)</f>
        <v/>
      </c>
      <c r="G1451" s="23">
        <f>+D1451*F1451</f>
        <v/>
      </c>
    </row>
    <row r="1452">
      <c r="A1452" s="8" t="n"/>
      <c r="B1452" s="8" t="n"/>
      <c r="C1452" s="21" t="n"/>
      <c r="D1452" s="22" t="n"/>
      <c r="E1452" s="22">
        <f>IFERROR(+VLOOKUP(C1452,Master!B:C,2,0),"")</f>
        <v/>
      </c>
      <c r="F1452" s="23">
        <f>LOOKUP(2,1/((Purchase!$D$1:$D$500=C1452)*(Purchase!$A$1:$A$500&lt;=A1452)),Purchase!$G$1:$G$500)</f>
        <v/>
      </c>
      <c r="G1452" s="23">
        <f>+D1452*F1452</f>
        <v/>
      </c>
    </row>
    <row r="1453">
      <c r="A1453" s="8" t="n"/>
      <c r="B1453" s="8" t="n"/>
      <c r="C1453" s="21" t="n"/>
      <c r="D1453" s="22" t="n"/>
      <c r="E1453" s="22">
        <f>IFERROR(+VLOOKUP(C1453,Master!B:C,2,0),"")</f>
        <v/>
      </c>
      <c r="F1453" s="23">
        <f>LOOKUP(2,1/((Purchase!$D$1:$D$500=C1453)*(Purchase!$A$1:$A$500&lt;=A1453)),Purchase!$G$1:$G$500)</f>
        <v/>
      </c>
      <c r="G1453" s="23">
        <f>+D1453*F1453</f>
        <v/>
      </c>
    </row>
    <row r="1454">
      <c r="A1454" s="8" t="n"/>
      <c r="B1454" s="8" t="n"/>
      <c r="C1454" s="21" t="n"/>
      <c r="D1454" s="22" t="n"/>
      <c r="E1454" s="22">
        <f>IFERROR(+VLOOKUP(C1454,Master!B:C,2,0),"")</f>
        <v/>
      </c>
      <c r="F1454" s="23">
        <f>LOOKUP(2,1/((Purchase!$D$1:$D$500=C1454)*(Purchase!$A$1:$A$500&lt;=A1454)),Purchase!$G$1:$G$500)</f>
        <v/>
      </c>
      <c r="G1454" s="23">
        <f>+D1454*F1454</f>
        <v/>
      </c>
    </row>
    <row r="1455">
      <c r="A1455" s="8" t="n"/>
      <c r="B1455" s="8" t="n"/>
      <c r="C1455" s="21" t="n"/>
      <c r="D1455" s="22" t="n"/>
      <c r="E1455" s="22">
        <f>IFERROR(+VLOOKUP(C1455,Master!B:C,2,0),"")</f>
        <v/>
      </c>
      <c r="F1455" s="23">
        <f>LOOKUP(2,1/((Purchase!$D$1:$D$500=C1455)*(Purchase!$A$1:$A$500&lt;=A1455)),Purchase!$G$1:$G$500)</f>
        <v/>
      </c>
      <c r="G1455" s="23">
        <f>+D1455*F1455</f>
        <v/>
      </c>
    </row>
    <row r="1456">
      <c r="A1456" s="8" t="n"/>
      <c r="B1456" s="8" t="n"/>
      <c r="C1456" s="21" t="n"/>
      <c r="D1456" s="22" t="n"/>
      <c r="E1456" s="22">
        <f>IFERROR(+VLOOKUP(C1456,Master!B:C,2,0),"")</f>
        <v/>
      </c>
      <c r="F1456" s="23">
        <f>LOOKUP(2,1/((Purchase!$D$1:$D$500=C1456)*(Purchase!$A$1:$A$500&lt;=A1456)),Purchase!$G$1:$G$500)</f>
        <v/>
      </c>
      <c r="G1456" s="23">
        <f>+D1456*F1456</f>
        <v/>
      </c>
    </row>
    <row r="1457">
      <c r="A1457" s="8" t="n"/>
      <c r="B1457" s="8" t="n"/>
      <c r="C1457" s="21" t="n"/>
      <c r="D1457" s="22" t="n"/>
      <c r="E1457" s="22">
        <f>IFERROR(+VLOOKUP(C1457,Master!B:C,2,0),"")</f>
        <v/>
      </c>
      <c r="F1457" s="23">
        <f>LOOKUP(2,1/((Purchase!$D$1:$D$500=C1457)*(Purchase!$A$1:$A$500&lt;=A1457)),Purchase!$G$1:$G$500)</f>
        <v/>
      </c>
      <c r="G1457" s="23">
        <f>+D1457*F1457</f>
        <v/>
      </c>
    </row>
    <row r="1458">
      <c r="A1458" s="8" t="n"/>
      <c r="B1458" s="8" t="n"/>
      <c r="C1458" s="21" t="n"/>
      <c r="D1458" s="22" t="n"/>
      <c r="E1458" s="22">
        <f>IFERROR(+VLOOKUP(C1458,Master!B:C,2,0),"")</f>
        <v/>
      </c>
      <c r="F1458" s="23">
        <f>LOOKUP(2,1/((Purchase!$D$1:$D$500=C1458)*(Purchase!$A$1:$A$500&lt;=A1458)),Purchase!$G$1:$G$500)</f>
        <v/>
      </c>
      <c r="G1458" s="23">
        <f>+D1458*F1458</f>
        <v/>
      </c>
    </row>
    <row r="1459">
      <c r="A1459" s="8" t="n"/>
      <c r="B1459" s="8" t="n"/>
      <c r="C1459" s="21" t="n"/>
      <c r="D1459" s="22" t="n"/>
      <c r="E1459" s="22">
        <f>IFERROR(+VLOOKUP(C1459,Master!B:C,2,0),"")</f>
        <v/>
      </c>
      <c r="F1459" s="23">
        <f>LOOKUP(2,1/((Purchase!$D$1:$D$500=C1459)*(Purchase!$A$1:$A$500&lt;=A1459)),Purchase!$G$1:$G$500)</f>
        <v/>
      </c>
      <c r="G1459" s="23">
        <f>+D1459*F1459</f>
        <v/>
      </c>
    </row>
    <row r="1460">
      <c r="A1460" s="8" t="n"/>
      <c r="B1460" s="8" t="n"/>
      <c r="C1460" s="21" t="n"/>
      <c r="D1460" s="22" t="n"/>
      <c r="E1460" s="22">
        <f>IFERROR(+VLOOKUP(C1460,Master!B:C,2,0),"")</f>
        <v/>
      </c>
      <c r="F1460" s="23">
        <f>LOOKUP(2,1/((Purchase!$D$1:$D$500=C1460)*(Purchase!$A$1:$A$500&lt;=A1460)),Purchase!$G$1:$G$500)</f>
        <v/>
      </c>
      <c r="G1460" s="23">
        <f>+D1460*F1460</f>
        <v/>
      </c>
    </row>
    <row r="1461">
      <c r="A1461" s="8" t="n"/>
      <c r="B1461" s="8" t="n"/>
      <c r="C1461" s="21" t="n"/>
      <c r="D1461" s="22" t="n"/>
      <c r="E1461" s="22">
        <f>IFERROR(+VLOOKUP(C1461,Master!B:C,2,0),"")</f>
        <v/>
      </c>
      <c r="F1461" s="23">
        <f>LOOKUP(2,1/((Purchase!$D$1:$D$500=C1461)*(Purchase!$A$1:$A$500&lt;=A1461)),Purchase!$G$1:$G$500)</f>
        <v/>
      </c>
      <c r="G1461" s="23">
        <f>+D1461*F1461</f>
        <v/>
      </c>
    </row>
    <row r="1462">
      <c r="A1462" s="8" t="n"/>
      <c r="B1462" s="8" t="n"/>
      <c r="C1462" s="21" t="n"/>
      <c r="D1462" s="22" t="n"/>
      <c r="E1462" s="22">
        <f>IFERROR(+VLOOKUP(C1462,Master!B:C,2,0),"")</f>
        <v/>
      </c>
      <c r="F1462" s="23">
        <f>LOOKUP(2,1/((Purchase!$D$1:$D$500=C1462)*(Purchase!$A$1:$A$500&lt;=A1462)),Purchase!$G$1:$G$500)</f>
        <v/>
      </c>
      <c r="G1462" s="23">
        <f>+D1462*F1462</f>
        <v/>
      </c>
    </row>
    <row r="1463">
      <c r="A1463" s="8" t="n"/>
      <c r="B1463" s="8" t="n"/>
      <c r="C1463" s="21" t="n"/>
      <c r="D1463" s="22" t="n"/>
      <c r="E1463" s="22">
        <f>IFERROR(+VLOOKUP(C1463,Master!B:C,2,0),"")</f>
        <v/>
      </c>
      <c r="F1463" s="23">
        <f>LOOKUP(2,1/((Purchase!$D$1:$D$500=C1463)*(Purchase!$A$1:$A$500&lt;=A1463)),Purchase!$G$1:$G$500)</f>
        <v/>
      </c>
      <c r="G1463" s="23">
        <f>+D1463*F1463</f>
        <v/>
      </c>
    </row>
    <row r="1464">
      <c r="A1464" s="8" t="n"/>
      <c r="B1464" s="8" t="n"/>
      <c r="C1464" s="21" t="n"/>
      <c r="D1464" s="22" t="n"/>
      <c r="E1464" s="22">
        <f>IFERROR(+VLOOKUP(C1464,Master!B:C,2,0),"")</f>
        <v/>
      </c>
      <c r="F1464" s="23">
        <f>LOOKUP(2,1/((Purchase!$D$1:$D$500=C1464)*(Purchase!$A$1:$A$500&lt;=A1464)),Purchase!$G$1:$G$500)</f>
        <v/>
      </c>
      <c r="G1464" s="23">
        <f>+D1464*F1464</f>
        <v/>
      </c>
    </row>
    <row r="1465">
      <c r="A1465" s="8" t="n"/>
      <c r="B1465" s="8" t="n"/>
      <c r="C1465" s="21" t="n"/>
      <c r="D1465" s="22" t="n"/>
      <c r="E1465" s="22">
        <f>IFERROR(+VLOOKUP(C1465,Master!B:C,2,0),"")</f>
        <v/>
      </c>
      <c r="F1465" s="23">
        <f>LOOKUP(2,1/((Purchase!$D$1:$D$500=C1465)*(Purchase!$A$1:$A$500&lt;=A1465)),Purchase!$G$1:$G$500)</f>
        <v/>
      </c>
      <c r="G1465" s="23">
        <f>+D1465*F1465</f>
        <v/>
      </c>
    </row>
    <row r="1466">
      <c r="A1466" s="8" t="n"/>
      <c r="B1466" s="8" t="n"/>
      <c r="C1466" s="21" t="n"/>
      <c r="D1466" s="22" t="n"/>
      <c r="E1466" s="22">
        <f>IFERROR(+VLOOKUP(C1466,Master!B:C,2,0),"")</f>
        <v/>
      </c>
      <c r="F1466" s="23">
        <f>LOOKUP(2,1/((Purchase!$D$1:$D$500=C1466)*(Purchase!$A$1:$A$500&lt;=A1466)),Purchase!$G$1:$G$500)</f>
        <v/>
      </c>
      <c r="G1466" s="23">
        <f>+D1466*F1466</f>
        <v/>
      </c>
    </row>
    <row r="1467">
      <c r="A1467" s="8" t="n"/>
      <c r="B1467" s="8" t="n"/>
      <c r="C1467" s="21" t="n"/>
      <c r="D1467" s="22" t="n"/>
      <c r="E1467" s="22">
        <f>IFERROR(+VLOOKUP(C1467,Master!B:C,2,0),"")</f>
        <v/>
      </c>
      <c r="F1467" s="23">
        <f>LOOKUP(2,1/((Purchase!$D$1:$D$500=C1467)*(Purchase!$A$1:$A$500&lt;=A1467)),Purchase!$G$1:$G$500)</f>
        <v/>
      </c>
      <c r="G1467" s="23">
        <f>+D1467*F1467</f>
        <v/>
      </c>
    </row>
    <row r="1468">
      <c r="A1468" s="8" t="n"/>
      <c r="B1468" s="8" t="n"/>
      <c r="C1468" s="21" t="n"/>
      <c r="D1468" s="22" t="n"/>
      <c r="E1468" s="22">
        <f>IFERROR(+VLOOKUP(C1468,Master!B:C,2,0),"")</f>
        <v/>
      </c>
      <c r="F1468" s="23">
        <f>LOOKUP(2,1/((Purchase!$D$1:$D$500=C1468)*(Purchase!$A$1:$A$500&lt;=A1468)),Purchase!$G$1:$G$500)</f>
        <v/>
      </c>
      <c r="G1468" s="23">
        <f>+D1468*F1468</f>
        <v/>
      </c>
    </row>
    <row r="1469">
      <c r="A1469" s="8" t="n"/>
      <c r="B1469" s="8" t="n"/>
      <c r="C1469" s="21" t="n"/>
      <c r="D1469" s="22" t="n"/>
      <c r="E1469" s="22">
        <f>IFERROR(+VLOOKUP(C1469,Master!B:C,2,0),"")</f>
        <v/>
      </c>
      <c r="F1469" s="23">
        <f>LOOKUP(2,1/((Purchase!$D$1:$D$500=C1469)*(Purchase!$A$1:$A$500&lt;=A1469)),Purchase!$G$1:$G$500)</f>
        <v/>
      </c>
      <c r="G1469" s="23">
        <f>+D1469*F1469</f>
        <v/>
      </c>
    </row>
    <row r="1470">
      <c r="A1470" s="8" t="n"/>
      <c r="B1470" s="8" t="n"/>
      <c r="C1470" s="21" t="n"/>
      <c r="D1470" s="22" t="n"/>
      <c r="E1470" s="22">
        <f>IFERROR(+VLOOKUP(C1470,Master!B:C,2,0),"")</f>
        <v/>
      </c>
      <c r="F1470" s="23">
        <f>LOOKUP(2,1/((Purchase!$D$1:$D$500=C1470)*(Purchase!$A$1:$A$500&lt;=A1470)),Purchase!$G$1:$G$500)</f>
        <v/>
      </c>
      <c r="G1470" s="23">
        <f>+D1470*F1470</f>
        <v/>
      </c>
    </row>
    <row r="1471">
      <c r="A1471" s="8" t="n"/>
      <c r="B1471" s="8" t="n"/>
      <c r="C1471" s="21" t="n"/>
      <c r="D1471" s="22" t="n"/>
      <c r="E1471" s="22">
        <f>IFERROR(+VLOOKUP(C1471,Master!B:C,2,0),"")</f>
        <v/>
      </c>
      <c r="F1471" s="23">
        <f>LOOKUP(2,1/((Purchase!$D$1:$D$500=C1471)*(Purchase!$A$1:$A$500&lt;=A1471)),Purchase!$G$1:$G$500)</f>
        <v/>
      </c>
      <c r="G1471" s="23">
        <f>+D1471*F1471</f>
        <v/>
      </c>
    </row>
    <row r="1472">
      <c r="A1472" s="8" t="n"/>
      <c r="B1472" s="8" t="n"/>
      <c r="C1472" s="21" t="n"/>
      <c r="D1472" s="22" t="n"/>
      <c r="E1472" s="22">
        <f>IFERROR(+VLOOKUP(C1472,Master!B:C,2,0),"")</f>
        <v/>
      </c>
      <c r="F1472" s="23">
        <f>LOOKUP(2,1/((Purchase!$D$1:$D$500=C1472)*(Purchase!$A$1:$A$500&lt;=A1472)),Purchase!$G$1:$G$500)</f>
        <v/>
      </c>
      <c r="G1472" s="23">
        <f>+D1472*F1472</f>
        <v/>
      </c>
    </row>
    <row r="1473">
      <c r="A1473" s="8" t="n"/>
      <c r="B1473" s="8" t="n"/>
      <c r="C1473" s="21" t="n"/>
      <c r="D1473" s="22" t="n"/>
      <c r="E1473" s="22">
        <f>IFERROR(+VLOOKUP(C1473,Master!B:C,2,0),"")</f>
        <v/>
      </c>
      <c r="F1473" s="23">
        <f>LOOKUP(2,1/((Purchase!$D$1:$D$500=C1473)*(Purchase!$A$1:$A$500&lt;=A1473)),Purchase!$G$1:$G$500)</f>
        <v/>
      </c>
      <c r="G1473" s="23">
        <f>+D1473*F1473</f>
        <v/>
      </c>
    </row>
    <row r="1474">
      <c r="A1474" s="8" t="n"/>
      <c r="B1474" s="8" t="n"/>
      <c r="C1474" s="21" t="n"/>
      <c r="D1474" s="22" t="n"/>
      <c r="E1474" s="22">
        <f>IFERROR(+VLOOKUP(C1474,Master!B:C,2,0),"")</f>
        <v/>
      </c>
      <c r="F1474" s="23">
        <f>LOOKUP(2,1/((Purchase!$D$1:$D$500=C1474)*(Purchase!$A$1:$A$500&lt;=A1474)),Purchase!$G$1:$G$500)</f>
        <v/>
      </c>
      <c r="G1474" s="23">
        <f>+D1474*F1474</f>
        <v/>
      </c>
    </row>
    <row r="1475">
      <c r="A1475" s="8" t="n"/>
      <c r="B1475" s="8" t="n"/>
      <c r="C1475" s="21" t="n"/>
      <c r="D1475" s="22" t="n"/>
      <c r="E1475" s="22">
        <f>IFERROR(+VLOOKUP(C1475,Master!B:C,2,0),"")</f>
        <v/>
      </c>
      <c r="F1475" s="23">
        <f>LOOKUP(2,1/((Purchase!$D$1:$D$500=C1475)*(Purchase!$A$1:$A$500&lt;=A1475)),Purchase!$G$1:$G$500)</f>
        <v/>
      </c>
      <c r="G1475" s="23">
        <f>+D1475*F1475</f>
        <v/>
      </c>
    </row>
    <row r="1476">
      <c r="A1476" s="8" t="n"/>
      <c r="B1476" s="8" t="n"/>
      <c r="C1476" s="21" t="n"/>
      <c r="D1476" s="22" t="n"/>
      <c r="E1476" s="22">
        <f>IFERROR(+VLOOKUP(C1476,Master!B:C,2,0),"")</f>
        <v/>
      </c>
      <c r="F1476" s="23">
        <f>LOOKUP(2,1/((Purchase!$D$1:$D$500=C1476)*(Purchase!$A$1:$A$500&lt;=A1476)),Purchase!$G$1:$G$500)</f>
        <v/>
      </c>
      <c r="G1476" s="23">
        <f>+D1476*F1476</f>
        <v/>
      </c>
    </row>
    <row r="1477">
      <c r="A1477" s="8" t="n"/>
      <c r="B1477" s="8" t="n"/>
      <c r="C1477" s="21" t="n"/>
      <c r="D1477" s="22" t="n"/>
      <c r="E1477" s="22">
        <f>IFERROR(+VLOOKUP(C1477,Master!B:C,2,0),"")</f>
        <v/>
      </c>
      <c r="F1477" s="23">
        <f>LOOKUP(2,1/((Purchase!$D$1:$D$500=C1477)*(Purchase!$A$1:$A$500&lt;=A1477)),Purchase!$G$1:$G$500)</f>
        <v/>
      </c>
      <c r="G1477" s="23">
        <f>+D1477*F1477</f>
        <v/>
      </c>
    </row>
    <row r="1478">
      <c r="A1478" s="8" t="n"/>
      <c r="B1478" s="8" t="n"/>
      <c r="C1478" s="21" t="n"/>
      <c r="D1478" s="22" t="n"/>
      <c r="E1478" s="22">
        <f>IFERROR(+VLOOKUP(C1478,Master!B:C,2,0),"")</f>
        <v/>
      </c>
      <c r="F1478" s="23">
        <f>LOOKUP(2,1/((Purchase!$D$1:$D$500=C1478)*(Purchase!$A$1:$A$500&lt;=A1478)),Purchase!$G$1:$G$500)</f>
        <v/>
      </c>
      <c r="G1478" s="23">
        <f>+D1478*F1478</f>
        <v/>
      </c>
    </row>
    <row r="1479">
      <c r="A1479" s="8" t="n"/>
      <c r="B1479" s="8" t="n"/>
      <c r="C1479" s="21" t="n"/>
      <c r="D1479" s="22" t="n"/>
      <c r="E1479" s="22">
        <f>IFERROR(+VLOOKUP(C1479,Master!B:C,2,0),"")</f>
        <v/>
      </c>
      <c r="F1479" s="23">
        <f>LOOKUP(2,1/((Purchase!$D$1:$D$500=C1479)*(Purchase!$A$1:$A$500&lt;=A1479)),Purchase!$G$1:$G$500)</f>
        <v/>
      </c>
      <c r="G1479" s="23">
        <f>+D1479*F1479</f>
        <v/>
      </c>
    </row>
    <row r="1480">
      <c r="A1480" s="8" t="n"/>
      <c r="B1480" s="8" t="n"/>
      <c r="C1480" s="21" t="n"/>
      <c r="D1480" s="22" t="n"/>
      <c r="E1480" s="22">
        <f>IFERROR(+VLOOKUP(C1480,Master!B:C,2,0),"")</f>
        <v/>
      </c>
      <c r="F1480" s="23">
        <f>LOOKUP(2,1/((Purchase!$D$1:$D$500=C1480)*(Purchase!$A$1:$A$500&lt;=A1480)),Purchase!$G$1:$G$500)</f>
        <v/>
      </c>
      <c r="G1480" s="23">
        <f>+D1480*F1480</f>
        <v/>
      </c>
    </row>
    <row r="1481">
      <c r="A1481" s="8" t="n"/>
      <c r="B1481" s="8" t="n"/>
      <c r="C1481" s="21" t="n"/>
      <c r="D1481" s="22" t="n"/>
      <c r="E1481" s="22">
        <f>IFERROR(+VLOOKUP(C1481,Master!B:C,2,0),"")</f>
        <v/>
      </c>
      <c r="F1481" s="23">
        <f>LOOKUP(2,1/((Purchase!$D$1:$D$500=C1481)*(Purchase!$A$1:$A$500&lt;=A1481)),Purchase!$G$1:$G$500)</f>
        <v/>
      </c>
      <c r="G1481" s="23">
        <f>+D1481*F1481</f>
        <v/>
      </c>
    </row>
    <row r="1482">
      <c r="A1482" s="8" t="n"/>
      <c r="B1482" s="8" t="n"/>
      <c r="C1482" s="21" t="n"/>
      <c r="D1482" s="22" t="n"/>
      <c r="E1482" s="22">
        <f>IFERROR(+VLOOKUP(C1482,Master!B:C,2,0),"")</f>
        <v/>
      </c>
      <c r="F1482" s="23">
        <f>LOOKUP(2,1/((Purchase!$D$1:$D$500=C1482)*(Purchase!$A$1:$A$500&lt;=A1482)),Purchase!$G$1:$G$500)</f>
        <v/>
      </c>
      <c r="G1482" s="23">
        <f>+D1482*F1482</f>
        <v/>
      </c>
    </row>
    <row r="1483">
      <c r="A1483" s="8" t="n"/>
      <c r="B1483" s="8" t="n"/>
      <c r="C1483" s="21" t="n"/>
      <c r="D1483" s="22" t="n"/>
      <c r="E1483" s="22">
        <f>IFERROR(+VLOOKUP(C1483,Master!B:C,2,0),"")</f>
        <v/>
      </c>
      <c r="F1483" s="23">
        <f>LOOKUP(2,1/((Purchase!$D$1:$D$500=C1483)*(Purchase!$A$1:$A$500&lt;=A1483)),Purchase!$G$1:$G$500)</f>
        <v/>
      </c>
      <c r="G1483" s="23">
        <f>+D1483*F1483</f>
        <v/>
      </c>
    </row>
    <row r="1484">
      <c r="A1484" s="8" t="n"/>
      <c r="B1484" s="8" t="n"/>
      <c r="C1484" s="21" t="n"/>
      <c r="D1484" s="22" t="n"/>
      <c r="E1484" s="22">
        <f>IFERROR(+VLOOKUP(C1484,Master!B:C,2,0),"")</f>
        <v/>
      </c>
      <c r="F1484" s="23">
        <f>LOOKUP(2,1/((Purchase!$D$1:$D$500=C1484)*(Purchase!$A$1:$A$500&lt;=A1484)),Purchase!$G$1:$G$500)</f>
        <v/>
      </c>
      <c r="G1484" s="23">
        <f>+D1484*F1484</f>
        <v/>
      </c>
    </row>
    <row r="1485">
      <c r="A1485" s="8" t="n"/>
      <c r="B1485" s="8" t="n"/>
      <c r="C1485" s="21" t="n"/>
      <c r="D1485" s="22" t="n"/>
      <c r="E1485" s="22">
        <f>IFERROR(+VLOOKUP(C1485,Master!B:C,2,0),"")</f>
        <v/>
      </c>
      <c r="F1485" s="23">
        <f>LOOKUP(2,1/((Purchase!$D$1:$D$500=C1485)*(Purchase!$A$1:$A$500&lt;=A1485)),Purchase!$G$1:$G$500)</f>
        <v/>
      </c>
      <c r="G1485" s="23">
        <f>+D1485*F1485</f>
        <v/>
      </c>
    </row>
    <row r="1486">
      <c r="A1486" s="8" t="n"/>
      <c r="B1486" s="8" t="n"/>
      <c r="C1486" s="21" t="n"/>
      <c r="D1486" s="22" t="n"/>
      <c r="E1486" s="22">
        <f>IFERROR(+VLOOKUP(C1486,Master!B:C,2,0),"")</f>
        <v/>
      </c>
      <c r="F1486" s="23">
        <f>LOOKUP(2,1/((Purchase!$D$1:$D$500=C1486)*(Purchase!$A$1:$A$500&lt;=A1486)),Purchase!$G$1:$G$500)</f>
        <v/>
      </c>
      <c r="G1486" s="23">
        <f>+D1486*F1486</f>
        <v/>
      </c>
    </row>
    <row r="1487">
      <c r="A1487" s="8" t="n"/>
      <c r="B1487" s="8" t="n"/>
      <c r="C1487" s="21" t="n"/>
      <c r="D1487" s="22" t="n"/>
      <c r="E1487" s="22">
        <f>IFERROR(+VLOOKUP(C1487,Master!B:C,2,0),"")</f>
        <v/>
      </c>
      <c r="F1487" s="23">
        <f>LOOKUP(2,1/((Purchase!$D$1:$D$500=C1487)*(Purchase!$A$1:$A$500&lt;=A1487)),Purchase!$G$1:$G$500)</f>
        <v/>
      </c>
      <c r="G1487" s="23">
        <f>+D1487*F1487</f>
        <v/>
      </c>
    </row>
    <row r="1488">
      <c r="A1488" s="8" t="n"/>
      <c r="B1488" s="8" t="n"/>
      <c r="C1488" s="21" t="n"/>
      <c r="D1488" s="22" t="n"/>
      <c r="E1488" s="22">
        <f>IFERROR(+VLOOKUP(C1488,Master!B:C,2,0),"")</f>
        <v/>
      </c>
      <c r="F1488" s="23">
        <f>LOOKUP(2,1/((Purchase!$D$1:$D$500=C1488)*(Purchase!$A$1:$A$500&lt;=A1488)),Purchase!$G$1:$G$500)</f>
        <v/>
      </c>
      <c r="G1488" s="23">
        <f>+D1488*F1488</f>
        <v/>
      </c>
    </row>
    <row r="1489">
      <c r="A1489" s="8" t="n"/>
      <c r="B1489" s="8" t="n"/>
      <c r="C1489" s="21" t="n"/>
      <c r="D1489" s="22" t="n"/>
      <c r="E1489" s="22">
        <f>IFERROR(+VLOOKUP(C1489,Master!B:C,2,0),"")</f>
        <v/>
      </c>
      <c r="F1489" s="23">
        <f>LOOKUP(2,1/((Purchase!$D$1:$D$500=C1489)*(Purchase!$A$1:$A$500&lt;=A1489)),Purchase!$G$1:$G$500)</f>
        <v/>
      </c>
      <c r="G1489" s="23">
        <f>+D1489*F1489</f>
        <v/>
      </c>
    </row>
    <row r="1490">
      <c r="A1490" s="8" t="n"/>
      <c r="B1490" s="8" t="n"/>
      <c r="C1490" s="21" t="n"/>
      <c r="D1490" s="22" t="n"/>
      <c r="E1490" s="22">
        <f>IFERROR(+VLOOKUP(C1490,Master!B:C,2,0),"")</f>
        <v/>
      </c>
      <c r="F1490" s="23">
        <f>LOOKUP(2,1/((Purchase!$D$1:$D$500=C1490)*(Purchase!$A$1:$A$500&lt;=A1490)),Purchase!$G$1:$G$500)</f>
        <v/>
      </c>
      <c r="G1490" s="23">
        <f>+D1490*F1490</f>
        <v/>
      </c>
    </row>
    <row r="1491">
      <c r="A1491" s="8" t="n"/>
      <c r="B1491" s="8" t="n"/>
      <c r="C1491" s="21" t="n"/>
      <c r="D1491" s="22" t="n"/>
      <c r="E1491" s="22">
        <f>IFERROR(+VLOOKUP(C1491,Master!B:C,2,0),"")</f>
        <v/>
      </c>
      <c r="F1491" s="23">
        <f>LOOKUP(2,1/((Purchase!$D$1:$D$500=C1491)*(Purchase!$A$1:$A$500&lt;=A1491)),Purchase!$G$1:$G$500)</f>
        <v/>
      </c>
      <c r="G1491" s="23">
        <f>+D1491*F1491</f>
        <v/>
      </c>
    </row>
    <row r="1492">
      <c r="A1492" s="8" t="n"/>
      <c r="B1492" s="8" t="n"/>
      <c r="C1492" s="21" t="n"/>
      <c r="D1492" s="22" t="n"/>
      <c r="E1492" s="22">
        <f>IFERROR(+VLOOKUP(C1492,Master!B:C,2,0),"")</f>
        <v/>
      </c>
      <c r="F1492" s="23">
        <f>LOOKUP(2,1/((Purchase!$D$1:$D$500=C1492)*(Purchase!$A$1:$A$500&lt;=A1492)),Purchase!$G$1:$G$500)</f>
        <v/>
      </c>
      <c r="G1492" s="23">
        <f>+D1492*F1492</f>
        <v/>
      </c>
    </row>
    <row r="1493">
      <c r="A1493" s="8" t="n"/>
      <c r="B1493" s="8" t="n"/>
      <c r="C1493" s="21" t="n"/>
      <c r="D1493" s="22" t="n"/>
      <c r="E1493" s="22">
        <f>IFERROR(+VLOOKUP(C1493,Master!B:C,2,0),"")</f>
        <v/>
      </c>
      <c r="F1493" s="23">
        <f>LOOKUP(2,1/((Purchase!$D$1:$D$500=C1493)*(Purchase!$A$1:$A$500&lt;=A1493)),Purchase!$G$1:$G$500)</f>
        <v/>
      </c>
      <c r="G1493" s="23">
        <f>+D1493*F1493</f>
        <v/>
      </c>
    </row>
    <row r="1494">
      <c r="A1494" s="8" t="n"/>
      <c r="B1494" s="8" t="n"/>
      <c r="C1494" s="21" t="n"/>
      <c r="D1494" s="22" t="n"/>
      <c r="E1494" s="22">
        <f>IFERROR(+VLOOKUP(C1494,Master!B:C,2,0),"")</f>
        <v/>
      </c>
      <c r="F1494" s="23">
        <f>LOOKUP(2,1/((Purchase!$D$1:$D$500=C1494)*(Purchase!$A$1:$A$500&lt;=A1494)),Purchase!$G$1:$G$500)</f>
        <v/>
      </c>
      <c r="G1494" s="23">
        <f>+D1494*F1494</f>
        <v/>
      </c>
    </row>
    <row r="1495">
      <c r="A1495" s="8" t="n"/>
      <c r="B1495" s="8" t="n"/>
      <c r="C1495" s="21" t="n"/>
      <c r="D1495" s="22" t="n"/>
      <c r="E1495" s="22">
        <f>IFERROR(+VLOOKUP(C1495,Master!B:C,2,0),"")</f>
        <v/>
      </c>
      <c r="F1495" s="23">
        <f>LOOKUP(2,1/((Purchase!$D$1:$D$500=C1495)*(Purchase!$A$1:$A$500&lt;=A1495)),Purchase!$G$1:$G$500)</f>
        <v/>
      </c>
      <c r="G1495" s="23">
        <f>+D1495*F1495</f>
        <v/>
      </c>
    </row>
    <row r="1496">
      <c r="A1496" s="8" t="n"/>
      <c r="B1496" s="8" t="n"/>
      <c r="C1496" s="21" t="n"/>
      <c r="D1496" s="22" t="n"/>
      <c r="E1496" s="22">
        <f>IFERROR(+VLOOKUP(C1496,Master!B:C,2,0),"")</f>
        <v/>
      </c>
      <c r="F1496" s="23">
        <f>LOOKUP(2,1/((Purchase!$D$1:$D$500=C1496)*(Purchase!$A$1:$A$500&lt;=A1496)),Purchase!$G$1:$G$500)</f>
        <v/>
      </c>
      <c r="G1496" s="23">
        <f>+D1496*F1496</f>
        <v/>
      </c>
    </row>
    <row r="1497">
      <c r="A1497" s="8" t="n"/>
      <c r="B1497" s="8" t="n"/>
      <c r="C1497" s="21" t="n"/>
      <c r="D1497" s="22" t="n"/>
      <c r="E1497" s="22">
        <f>IFERROR(+VLOOKUP(C1497,Master!B:C,2,0),"")</f>
        <v/>
      </c>
      <c r="F1497" s="23">
        <f>LOOKUP(2,1/((Purchase!$D$1:$D$500=C1497)*(Purchase!$A$1:$A$500&lt;=A1497)),Purchase!$G$1:$G$500)</f>
        <v/>
      </c>
      <c r="G1497" s="23">
        <f>+D1497*F1497</f>
        <v/>
      </c>
    </row>
    <row r="1498">
      <c r="A1498" s="8" t="n"/>
      <c r="B1498" s="8" t="n"/>
      <c r="C1498" s="21" t="n"/>
      <c r="D1498" s="22" t="n"/>
      <c r="E1498" s="22">
        <f>IFERROR(+VLOOKUP(C1498,Master!B:C,2,0),"")</f>
        <v/>
      </c>
      <c r="F1498" s="23">
        <f>LOOKUP(2,1/((Purchase!$D$1:$D$500=C1498)*(Purchase!$A$1:$A$500&lt;=A1498)),Purchase!$G$1:$G$500)</f>
        <v/>
      </c>
      <c r="G1498" s="23">
        <f>+D1498*F1498</f>
        <v/>
      </c>
    </row>
    <row r="1499">
      <c r="A1499" s="8" t="n"/>
      <c r="B1499" s="8" t="n"/>
      <c r="C1499" s="21" t="n"/>
      <c r="D1499" s="22" t="n"/>
      <c r="E1499" s="22">
        <f>IFERROR(+VLOOKUP(C1499,Master!B:C,2,0),"")</f>
        <v/>
      </c>
      <c r="F1499" s="23">
        <f>LOOKUP(2,1/((Purchase!$D$1:$D$500=C1499)*(Purchase!$A$1:$A$500&lt;=A1499)),Purchase!$G$1:$G$500)</f>
        <v/>
      </c>
      <c r="G1499" s="23">
        <f>+D1499*F1499</f>
        <v/>
      </c>
    </row>
    <row r="1500">
      <c r="A1500" s="8" t="n"/>
      <c r="B1500" s="8" t="n"/>
      <c r="C1500" s="21" t="n"/>
      <c r="D1500" s="22" t="n"/>
      <c r="E1500" s="22">
        <f>IFERROR(+VLOOKUP(C1500,Master!B:C,2,0),"")</f>
        <v/>
      </c>
      <c r="F1500" s="23">
        <f>LOOKUP(2,1/((Purchase!$D$1:$D$500=C1500)*(Purchase!$A$1:$A$500&lt;=A1500)),Purchase!$G$1:$G$500)</f>
        <v/>
      </c>
      <c r="G1500" s="23">
        <f>+D1500*F1500</f>
        <v/>
      </c>
    </row>
    <row r="1501">
      <c r="A1501" s="8" t="n"/>
      <c r="B1501" s="8" t="n"/>
      <c r="C1501" s="21" t="n"/>
      <c r="D1501" s="22" t="n"/>
      <c r="E1501" s="22">
        <f>IFERROR(+VLOOKUP(C1501,Master!B:C,2,0),"")</f>
        <v/>
      </c>
      <c r="F1501" s="23">
        <f>LOOKUP(2,1/((Purchase!$D$1:$D$500=C1501)*(Purchase!$A$1:$A$500&lt;=A1501)),Purchase!$G$1:$G$500)</f>
        <v/>
      </c>
      <c r="G1501" s="23">
        <f>+D1501*F1501</f>
        <v/>
      </c>
    </row>
    <row r="1502">
      <c r="A1502" s="8" t="n"/>
      <c r="B1502" s="8" t="n"/>
      <c r="C1502" s="21" t="n"/>
      <c r="D1502" s="22" t="n"/>
      <c r="E1502" s="22">
        <f>IFERROR(+VLOOKUP(C1502,Master!B:C,2,0),"")</f>
        <v/>
      </c>
      <c r="F1502" s="23">
        <f>LOOKUP(2,1/((Purchase!$D$1:$D$500=C1502)*(Purchase!$A$1:$A$500&lt;=A1502)),Purchase!$G$1:$G$500)</f>
        <v/>
      </c>
      <c r="G1502" s="23">
        <f>+D1502*F1502</f>
        <v/>
      </c>
    </row>
    <row r="1503">
      <c r="A1503" s="8" t="n"/>
      <c r="B1503" s="8" t="n"/>
      <c r="C1503" s="21" t="n"/>
      <c r="D1503" s="22" t="n"/>
      <c r="E1503" s="22">
        <f>IFERROR(+VLOOKUP(C1503,Master!B:C,2,0),"")</f>
        <v/>
      </c>
      <c r="F1503" s="23">
        <f>LOOKUP(2,1/((Purchase!$D$1:$D$500=C1503)*(Purchase!$A$1:$A$500&lt;=A1503)),Purchase!$G$1:$G$500)</f>
        <v/>
      </c>
      <c r="G1503" s="23">
        <f>+D1503*F1503</f>
        <v/>
      </c>
    </row>
    <row r="1504">
      <c r="A1504" s="8" t="n"/>
      <c r="B1504" s="8" t="n"/>
      <c r="C1504" s="21" t="n"/>
      <c r="D1504" s="22" t="n"/>
      <c r="E1504" s="22">
        <f>IFERROR(+VLOOKUP(C1504,Master!B:C,2,0),"")</f>
        <v/>
      </c>
      <c r="F1504" s="23">
        <f>LOOKUP(2,1/((Purchase!$D$1:$D$500=C1504)*(Purchase!$A$1:$A$500&lt;=A1504)),Purchase!$G$1:$G$500)</f>
        <v/>
      </c>
      <c r="G1504" s="23">
        <f>+D1504*F1504</f>
        <v/>
      </c>
    </row>
    <row r="1505">
      <c r="A1505" s="8" t="n"/>
      <c r="B1505" s="8" t="n"/>
      <c r="C1505" s="21" t="n"/>
      <c r="D1505" s="22" t="n"/>
      <c r="E1505" s="22">
        <f>IFERROR(+VLOOKUP(C1505,Master!B:C,2,0),"")</f>
        <v/>
      </c>
      <c r="F1505" s="23">
        <f>LOOKUP(2,1/((Purchase!$D$1:$D$500=C1505)*(Purchase!$A$1:$A$500&lt;=A1505)),Purchase!$G$1:$G$500)</f>
        <v/>
      </c>
      <c r="G1505" s="23">
        <f>+D1505*F1505</f>
        <v/>
      </c>
    </row>
    <row r="1506">
      <c r="A1506" s="8" t="n"/>
      <c r="B1506" s="8" t="n"/>
      <c r="C1506" s="21" t="n"/>
      <c r="D1506" s="22" t="n"/>
      <c r="E1506" s="22">
        <f>IFERROR(+VLOOKUP(C1506,Master!B:C,2,0),"")</f>
        <v/>
      </c>
      <c r="F1506" s="23">
        <f>LOOKUP(2,1/((Purchase!$D$1:$D$500=C1506)*(Purchase!$A$1:$A$500&lt;=A1506)),Purchase!$G$1:$G$500)</f>
        <v/>
      </c>
      <c r="G1506" s="23">
        <f>+D1506*F1506</f>
        <v/>
      </c>
    </row>
    <row r="1507">
      <c r="A1507" s="8" t="n"/>
      <c r="B1507" s="8" t="n"/>
      <c r="C1507" s="21" t="n"/>
      <c r="D1507" s="22" t="n"/>
      <c r="E1507" s="22">
        <f>IFERROR(+VLOOKUP(C1507,Master!B:C,2,0),"")</f>
        <v/>
      </c>
      <c r="F1507" s="23">
        <f>LOOKUP(2,1/((Purchase!$D$1:$D$500=C1507)*(Purchase!$A$1:$A$500&lt;=A1507)),Purchase!$G$1:$G$500)</f>
        <v/>
      </c>
      <c r="G1507" s="23">
        <f>+D1507*F1507</f>
        <v/>
      </c>
    </row>
    <row r="1508">
      <c r="A1508" s="8" t="n"/>
      <c r="B1508" s="8" t="n"/>
      <c r="C1508" s="21" t="n"/>
      <c r="D1508" s="22" t="n"/>
      <c r="E1508" s="22">
        <f>IFERROR(+VLOOKUP(C1508,Master!B:C,2,0),"")</f>
        <v/>
      </c>
      <c r="F1508" s="23">
        <f>LOOKUP(2,1/((Purchase!$D$1:$D$500=C1508)*(Purchase!$A$1:$A$500&lt;=A1508)),Purchase!$G$1:$G$500)</f>
        <v/>
      </c>
      <c r="G1508" s="23">
        <f>+D1508*F1508</f>
        <v/>
      </c>
    </row>
    <row r="1509">
      <c r="A1509" s="8" t="n"/>
      <c r="B1509" s="8" t="n"/>
      <c r="C1509" s="21" t="n"/>
      <c r="D1509" s="22" t="n"/>
      <c r="E1509" s="22">
        <f>IFERROR(+VLOOKUP(C1509,Master!B:C,2,0),"")</f>
        <v/>
      </c>
      <c r="F1509" s="23">
        <f>LOOKUP(2,1/((Purchase!$D$1:$D$500=C1509)*(Purchase!$A$1:$A$500&lt;=A1509)),Purchase!$G$1:$G$500)</f>
        <v/>
      </c>
      <c r="G1509" s="23">
        <f>+D1509*F1509</f>
        <v/>
      </c>
    </row>
    <row r="1510">
      <c r="A1510" s="8" t="n"/>
      <c r="B1510" s="8" t="n"/>
      <c r="C1510" s="21" t="n"/>
      <c r="D1510" s="22" t="n"/>
      <c r="E1510" s="22">
        <f>IFERROR(+VLOOKUP(C1510,Master!B:C,2,0),"")</f>
        <v/>
      </c>
      <c r="F1510" s="23">
        <f>LOOKUP(2,1/((Purchase!$D$1:$D$500=C1510)*(Purchase!$A$1:$A$500&lt;=A1510)),Purchase!$G$1:$G$500)</f>
        <v/>
      </c>
      <c r="G1510" s="23">
        <f>+D1510*F1510</f>
        <v/>
      </c>
    </row>
    <row r="1511">
      <c r="A1511" s="8" t="n"/>
      <c r="B1511" s="8" t="n"/>
      <c r="C1511" s="21" t="n"/>
      <c r="D1511" s="22" t="n"/>
      <c r="E1511" s="22">
        <f>IFERROR(+VLOOKUP(C1511,Master!B:C,2,0),"")</f>
        <v/>
      </c>
      <c r="F1511" s="23">
        <f>LOOKUP(2,1/((Purchase!$D$1:$D$500=C1511)*(Purchase!$A$1:$A$500&lt;=A1511)),Purchase!$G$1:$G$500)</f>
        <v/>
      </c>
      <c r="G1511" s="23">
        <f>+D1511*F1511</f>
        <v/>
      </c>
    </row>
    <row r="1512">
      <c r="A1512" s="8" t="n"/>
      <c r="B1512" s="8" t="n"/>
      <c r="C1512" s="21" t="n"/>
      <c r="D1512" s="22" t="n"/>
      <c r="E1512" s="22">
        <f>IFERROR(+VLOOKUP(C1512,Master!B:C,2,0),"")</f>
        <v/>
      </c>
      <c r="F1512" s="23">
        <f>LOOKUP(2,1/((Purchase!$D$1:$D$500=C1512)*(Purchase!$A$1:$A$500&lt;=A1512)),Purchase!$G$1:$G$500)</f>
        <v/>
      </c>
      <c r="G1512" s="23">
        <f>+D1512*F1512</f>
        <v/>
      </c>
    </row>
    <row r="1513">
      <c r="A1513" s="8" t="n"/>
      <c r="B1513" s="8" t="n"/>
      <c r="C1513" s="21" t="n"/>
      <c r="D1513" s="22" t="n"/>
      <c r="E1513" s="22">
        <f>IFERROR(+VLOOKUP(C1513,Master!B:C,2,0),"")</f>
        <v/>
      </c>
      <c r="F1513" s="23">
        <f>LOOKUP(2,1/((Purchase!$D$1:$D$500=C1513)*(Purchase!$A$1:$A$500&lt;=A1513)),Purchase!$G$1:$G$500)</f>
        <v/>
      </c>
      <c r="G1513" s="23">
        <f>+D1513*F1513</f>
        <v/>
      </c>
    </row>
    <row r="1514">
      <c r="A1514" s="8" t="n"/>
      <c r="B1514" s="8" t="n"/>
      <c r="C1514" s="21" t="n"/>
      <c r="D1514" s="22" t="n"/>
      <c r="E1514" s="22">
        <f>IFERROR(+VLOOKUP(C1514,Master!B:C,2,0),"")</f>
        <v/>
      </c>
      <c r="F1514" s="23">
        <f>LOOKUP(2,1/((Purchase!$D$1:$D$500=C1514)*(Purchase!$A$1:$A$500&lt;=A1514)),Purchase!$G$1:$G$500)</f>
        <v/>
      </c>
      <c r="G1514" s="23">
        <f>+D1514*F1514</f>
        <v/>
      </c>
    </row>
    <row r="1515">
      <c r="A1515" s="8" t="n"/>
      <c r="B1515" s="8" t="n"/>
      <c r="C1515" s="21" t="n"/>
      <c r="D1515" s="22" t="n"/>
      <c r="E1515" s="22">
        <f>IFERROR(+VLOOKUP(C1515,Master!B:C,2,0),"")</f>
        <v/>
      </c>
      <c r="F1515" s="23">
        <f>LOOKUP(2,1/((Purchase!$D$1:$D$500=C1515)*(Purchase!$A$1:$A$500&lt;=A1515)),Purchase!$G$1:$G$500)</f>
        <v/>
      </c>
      <c r="G1515" s="23">
        <f>+D1515*F1515</f>
        <v/>
      </c>
    </row>
    <row r="1516">
      <c r="A1516" s="8" t="n"/>
      <c r="B1516" s="8" t="n"/>
      <c r="C1516" s="21" t="n"/>
      <c r="D1516" s="22" t="n"/>
      <c r="E1516" s="22">
        <f>IFERROR(+VLOOKUP(C1516,Master!B:C,2,0),"")</f>
        <v/>
      </c>
      <c r="F1516" s="23">
        <f>LOOKUP(2,1/((Purchase!$D$1:$D$500=C1516)*(Purchase!$A$1:$A$500&lt;=A1516)),Purchase!$G$1:$G$500)</f>
        <v/>
      </c>
      <c r="G1516" s="23">
        <f>+D1516*F1516</f>
        <v/>
      </c>
    </row>
    <row r="1517">
      <c r="A1517" s="8" t="n"/>
      <c r="B1517" s="8" t="n"/>
      <c r="C1517" s="21" t="n"/>
      <c r="D1517" s="22" t="n"/>
      <c r="E1517" s="22">
        <f>IFERROR(+VLOOKUP(C1517,Master!B:C,2,0),"")</f>
        <v/>
      </c>
      <c r="F1517" s="23">
        <f>LOOKUP(2,1/((Purchase!$D$1:$D$500=C1517)*(Purchase!$A$1:$A$500&lt;=A1517)),Purchase!$G$1:$G$500)</f>
        <v/>
      </c>
      <c r="G1517" s="23">
        <f>+D1517*F1517</f>
        <v/>
      </c>
    </row>
    <row r="1518">
      <c r="A1518" s="8" t="n"/>
      <c r="B1518" s="8" t="n"/>
      <c r="C1518" s="21" t="n"/>
      <c r="D1518" s="22" t="n"/>
      <c r="E1518" s="22">
        <f>IFERROR(+VLOOKUP(C1518,Master!B:C,2,0),"")</f>
        <v/>
      </c>
      <c r="F1518" s="23">
        <f>LOOKUP(2,1/((Purchase!$D$1:$D$500=C1518)*(Purchase!$A$1:$A$500&lt;=A1518)),Purchase!$G$1:$G$500)</f>
        <v/>
      </c>
      <c r="G1518" s="23">
        <f>+D1518*F1518</f>
        <v/>
      </c>
    </row>
    <row r="1519">
      <c r="A1519" s="8" t="n"/>
      <c r="B1519" s="8" t="n"/>
      <c r="C1519" s="21" t="n"/>
      <c r="D1519" s="22" t="n"/>
      <c r="E1519" s="22">
        <f>IFERROR(+VLOOKUP(C1519,Master!B:C,2,0),"")</f>
        <v/>
      </c>
      <c r="F1519" s="23">
        <f>LOOKUP(2,1/((Purchase!$D$1:$D$500=C1519)*(Purchase!$A$1:$A$500&lt;=A1519)),Purchase!$G$1:$G$500)</f>
        <v/>
      </c>
      <c r="G1519" s="23">
        <f>+D1519*F1519</f>
        <v/>
      </c>
    </row>
    <row r="1520">
      <c r="A1520" s="8" t="n"/>
      <c r="B1520" s="8" t="n"/>
      <c r="C1520" s="21" t="n"/>
      <c r="D1520" s="22" t="n"/>
      <c r="E1520" s="22">
        <f>IFERROR(+VLOOKUP(C1520,Master!B:C,2,0),"")</f>
        <v/>
      </c>
      <c r="F1520" s="23">
        <f>LOOKUP(2,1/((Purchase!$D$1:$D$500=C1520)*(Purchase!$A$1:$A$500&lt;=A1520)),Purchase!$G$1:$G$500)</f>
        <v/>
      </c>
      <c r="G1520" s="23">
        <f>+D1520*F1520</f>
        <v/>
      </c>
    </row>
    <row r="1521">
      <c r="A1521" s="8" t="n"/>
      <c r="B1521" s="8" t="n"/>
      <c r="C1521" s="21" t="n"/>
      <c r="D1521" s="22" t="n"/>
      <c r="E1521" s="22">
        <f>IFERROR(+VLOOKUP(C1521,Master!B:C,2,0),"")</f>
        <v/>
      </c>
      <c r="F1521" s="23">
        <f>LOOKUP(2,1/((Purchase!$D$1:$D$500=C1521)*(Purchase!$A$1:$A$500&lt;=A1521)),Purchase!$G$1:$G$500)</f>
        <v/>
      </c>
      <c r="G1521" s="23">
        <f>+D1521*F1521</f>
        <v/>
      </c>
    </row>
    <row r="1522">
      <c r="A1522" s="8" t="n"/>
      <c r="B1522" s="8" t="n"/>
      <c r="C1522" s="21" t="n"/>
      <c r="D1522" s="22" t="n"/>
      <c r="E1522" s="22">
        <f>IFERROR(+VLOOKUP(C1522,Master!B:C,2,0),"")</f>
        <v/>
      </c>
      <c r="F1522" s="23">
        <f>LOOKUP(2,1/((Purchase!$D$1:$D$500=C1522)*(Purchase!$A$1:$A$500&lt;=A1522)),Purchase!$G$1:$G$500)</f>
        <v/>
      </c>
      <c r="G1522" s="23">
        <f>+D1522*F1522</f>
        <v/>
      </c>
    </row>
    <row r="1523">
      <c r="A1523" s="8" t="n"/>
      <c r="B1523" s="8" t="n"/>
      <c r="C1523" s="21" t="n"/>
      <c r="D1523" s="22" t="n"/>
      <c r="E1523" s="22">
        <f>IFERROR(+VLOOKUP(C1523,Master!B:C,2,0),"")</f>
        <v/>
      </c>
      <c r="F1523" s="23">
        <f>LOOKUP(2,1/((Purchase!$D$1:$D$500=C1523)*(Purchase!$A$1:$A$500&lt;=A1523)),Purchase!$G$1:$G$500)</f>
        <v/>
      </c>
      <c r="G1523" s="23">
        <f>+D1523*F1523</f>
        <v/>
      </c>
    </row>
    <row r="1524">
      <c r="A1524" s="8" t="n"/>
      <c r="B1524" s="8" t="n"/>
      <c r="C1524" s="21" t="n"/>
      <c r="D1524" s="22" t="n"/>
      <c r="E1524" s="22">
        <f>IFERROR(+VLOOKUP(C1524,Master!B:C,2,0),"")</f>
        <v/>
      </c>
      <c r="F1524" s="23">
        <f>LOOKUP(2,1/((Purchase!$D$1:$D$500=C1524)*(Purchase!$A$1:$A$500&lt;=A1524)),Purchase!$G$1:$G$500)</f>
        <v/>
      </c>
      <c r="G1524" s="23">
        <f>+D1524*F1524</f>
        <v/>
      </c>
    </row>
    <row r="1525">
      <c r="A1525" s="8" t="n"/>
      <c r="B1525" s="8" t="n"/>
      <c r="C1525" s="21" t="n"/>
      <c r="D1525" s="22" t="n"/>
      <c r="E1525" s="22">
        <f>IFERROR(+VLOOKUP(C1525,Master!B:C,2,0),"")</f>
        <v/>
      </c>
      <c r="F1525" s="23">
        <f>LOOKUP(2,1/((Purchase!$D$1:$D$500=C1525)*(Purchase!$A$1:$A$500&lt;=A1525)),Purchase!$G$1:$G$500)</f>
        <v/>
      </c>
      <c r="G1525" s="23">
        <f>+D1525*F1525</f>
        <v/>
      </c>
    </row>
    <row r="1526">
      <c r="A1526" s="8" t="n"/>
      <c r="B1526" s="8" t="n"/>
      <c r="C1526" s="21" t="n"/>
      <c r="D1526" s="22" t="n"/>
      <c r="E1526" s="22">
        <f>IFERROR(+VLOOKUP(C1526,Master!B:C,2,0),"")</f>
        <v/>
      </c>
      <c r="F1526" s="23">
        <f>LOOKUP(2,1/((Purchase!$D$1:$D$500=C1526)*(Purchase!$A$1:$A$500&lt;=A1526)),Purchase!$G$1:$G$500)</f>
        <v/>
      </c>
      <c r="G1526" s="23">
        <f>+D1526*F1526</f>
        <v/>
      </c>
    </row>
    <row r="1527">
      <c r="A1527" s="8" t="n"/>
      <c r="B1527" s="8" t="n"/>
      <c r="C1527" s="21" t="n"/>
      <c r="D1527" s="22" t="n"/>
      <c r="E1527" s="22">
        <f>IFERROR(+VLOOKUP(C1527,Master!B:C,2,0),"")</f>
        <v/>
      </c>
      <c r="F1527" s="23">
        <f>LOOKUP(2,1/((Purchase!$D$1:$D$500=C1527)*(Purchase!$A$1:$A$500&lt;=A1527)),Purchase!$G$1:$G$500)</f>
        <v/>
      </c>
      <c r="G1527" s="23">
        <f>+D1527*F1527</f>
        <v/>
      </c>
    </row>
    <row r="1528">
      <c r="A1528" s="8" t="n"/>
      <c r="B1528" s="8" t="n"/>
      <c r="C1528" s="21" t="n"/>
      <c r="D1528" s="22" t="n"/>
      <c r="E1528" s="22">
        <f>IFERROR(+VLOOKUP(C1528,Master!B:C,2,0),"")</f>
        <v/>
      </c>
      <c r="F1528" s="23">
        <f>LOOKUP(2,1/((Purchase!$D$1:$D$500=C1528)*(Purchase!$A$1:$A$500&lt;=A1528)),Purchase!$G$1:$G$500)</f>
        <v/>
      </c>
      <c r="G1528" s="23">
        <f>+D1528*F1528</f>
        <v/>
      </c>
    </row>
    <row r="1529">
      <c r="A1529" s="8" t="n"/>
      <c r="B1529" s="8" t="n"/>
      <c r="C1529" s="21" t="n"/>
      <c r="D1529" s="22" t="n"/>
      <c r="E1529" s="22">
        <f>IFERROR(+VLOOKUP(C1529,Master!B:C,2,0),"")</f>
        <v/>
      </c>
      <c r="F1529" s="23">
        <f>LOOKUP(2,1/((Purchase!$D$1:$D$500=C1529)*(Purchase!$A$1:$A$500&lt;=A1529)),Purchase!$G$1:$G$500)</f>
        <v/>
      </c>
      <c r="G1529" s="23">
        <f>+D1529*F1529</f>
        <v/>
      </c>
    </row>
    <row r="1530">
      <c r="A1530" s="8" t="n"/>
      <c r="B1530" s="8" t="n"/>
      <c r="C1530" s="21" t="n"/>
      <c r="D1530" s="22" t="n"/>
      <c r="E1530" s="22">
        <f>IFERROR(+VLOOKUP(C1530,Master!B:C,2,0),"")</f>
        <v/>
      </c>
      <c r="F1530" s="23">
        <f>LOOKUP(2,1/((Purchase!$D$1:$D$500=C1530)*(Purchase!$A$1:$A$500&lt;=A1530)),Purchase!$G$1:$G$500)</f>
        <v/>
      </c>
      <c r="G1530" s="23">
        <f>+D1530*F1530</f>
        <v/>
      </c>
    </row>
    <row r="1531">
      <c r="A1531" s="8" t="n"/>
      <c r="B1531" s="8" t="n"/>
      <c r="C1531" s="21" t="n"/>
      <c r="D1531" s="22" t="n"/>
      <c r="E1531" s="22">
        <f>IFERROR(+VLOOKUP(C1531,Master!B:C,2,0),"")</f>
        <v/>
      </c>
      <c r="F1531" s="23">
        <f>LOOKUP(2,1/((Purchase!$D$1:$D$500=C1531)*(Purchase!$A$1:$A$500&lt;=A1531)),Purchase!$G$1:$G$500)</f>
        <v/>
      </c>
      <c r="G1531" s="23">
        <f>+D1531*F1531</f>
        <v/>
      </c>
    </row>
    <row r="1532">
      <c r="A1532" s="8" t="n"/>
      <c r="B1532" s="8" t="n"/>
      <c r="C1532" s="21" t="n"/>
      <c r="D1532" s="22" t="n"/>
      <c r="E1532" s="22">
        <f>IFERROR(+VLOOKUP(C1532,Master!B:C,2,0),"")</f>
        <v/>
      </c>
      <c r="F1532" s="23">
        <f>LOOKUP(2,1/((Purchase!$D$1:$D$500=C1532)*(Purchase!$A$1:$A$500&lt;=A1532)),Purchase!$G$1:$G$500)</f>
        <v/>
      </c>
      <c r="G1532" s="23">
        <f>+D1532*F1532</f>
        <v/>
      </c>
    </row>
    <row r="1533">
      <c r="A1533" s="8" t="n"/>
      <c r="B1533" s="8" t="n"/>
      <c r="C1533" s="21" t="n"/>
      <c r="D1533" s="22" t="n"/>
      <c r="E1533" s="22">
        <f>IFERROR(+VLOOKUP(C1533,Master!B:C,2,0),"")</f>
        <v/>
      </c>
      <c r="F1533" s="23">
        <f>LOOKUP(2,1/((Purchase!$D$1:$D$500=C1533)*(Purchase!$A$1:$A$500&lt;=A1533)),Purchase!$G$1:$G$500)</f>
        <v/>
      </c>
      <c r="G1533" s="23">
        <f>+D1533*F1533</f>
        <v/>
      </c>
    </row>
    <row r="1534">
      <c r="A1534" s="8" t="n"/>
      <c r="B1534" s="8" t="n"/>
      <c r="C1534" s="21" t="n"/>
      <c r="D1534" s="22" t="n"/>
      <c r="E1534" s="22">
        <f>IFERROR(+VLOOKUP(C1534,Master!B:C,2,0),"")</f>
        <v/>
      </c>
      <c r="F1534" s="23">
        <f>LOOKUP(2,1/((Purchase!$D$1:$D$500=C1534)*(Purchase!$A$1:$A$500&lt;=A1534)),Purchase!$G$1:$G$500)</f>
        <v/>
      </c>
      <c r="G1534" s="23">
        <f>+D1534*F1534</f>
        <v/>
      </c>
    </row>
    <row r="1535">
      <c r="A1535" s="8" t="n"/>
      <c r="B1535" s="8" t="n"/>
      <c r="C1535" s="21" t="n"/>
      <c r="D1535" s="22" t="n"/>
      <c r="E1535" s="22">
        <f>IFERROR(+VLOOKUP(C1535,Master!B:C,2,0),"")</f>
        <v/>
      </c>
      <c r="F1535" s="23">
        <f>LOOKUP(2,1/((Purchase!$D$1:$D$500=C1535)*(Purchase!$A$1:$A$500&lt;=A1535)),Purchase!$G$1:$G$500)</f>
        <v/>
      </c>
      <c r="G1535" s="23">
        <f>+D1535*F1535</f>
        <v/>
      </c>
    </row>
    <row r="1536">
      <c r="A1536" s="8" t="n"/>
      <c r="B1536" s="8" t="n"/>
      <c r="C1536" s="21" t="n"/>
      <c r="D1536" s="22" t="n"/>
      <c r="E1536" s="22">
        <f>IFERROR(+VLOOKUP(C1536,Master!B:C,2,0),"")</f>
        <v/>
      </c>
      <c r="F1536" s="23">
        <f>LOOKUP(2,1/((Purchase!$D$1:$D$500=C1536)*(Purchase!$A$1:$A$500&lt;=A1536)),Purchase!$G$1:$G$500)</f>
        <v/>
      </c>
      <c r="G1536" s="23">
        <f>+D1536*F1536</f>
        <v/>
      </c>
    </row>
    <row r="1537">
      <c r="A1537" s="8" t="n"/>
      <c r="B1537" s="8" t="n"/>
      <c r="C1537" s="21" t="n"/>
      <c r="D1537" s="22" t="n"/>
      <c r="E1537" s="22">
        <f>IFERROR(+VLOOKUP(C1537,Master!B:C,2,0),"")</f>
        <v/>
      </c>
      <c r="F1537" s="23">
        <f>LOOKUP(2,1/((Purchase!$D$1:$D$500=C1537)*(Purchase!$A$1:$A$500&lt;=A1537)),Purchase!$G$1:$G$500)</f>
        <v/>
      </c>
      <c r="G1537" s="23">
        <f>+D1537*F1537</f>
        <v/>
      </c>
    </row>
    <row r="1538">
      <c r="A1538" s="8" t="n"/>
      <c r="B1538" s="8" t="n"/>
      <c r="C1538" s="21" t="n"/>
      <c r="D1538" s="22" t="n"/>
      <c r="E1538" s="22">
        <f>IFERROR(+VLOOKUP(C1538,Master!B:C,2,0),"")</f>
        <v/>
      </c>
      <c r="F1538" s="23">
        <f>LOOKUP(2,1/((Purchase!$D$1:$D$500=C1538)*(Purchase!$A$1:$A$500&lt;=A1538)),Purchase!$G$1:$G$500)</f>
        <v/>
      </c>
      <c r="G1538" s="23">
        <f>+D1538*F1538</f>
        <v/>
      </c>
    </row>
    <row r="1539">
      <c r="A1539" s="8" t="n"/>
      <c r="B1539" s="8" t="n"/>
      <c r="C1539" s="21" t="n"/>
      <c r="D1539" s="22" t="n"/>
      <c r="E1539" s="22">
        <f>IFERROR(+VLOOKUP(C1539,Master!B:C,2,0),"")</f>
        <v/>
      </c>
      <c r="F1539" s="23">
        <f>LOOKUP(2,1/((Purchase!$D$1:$D$500=C1539)*(Purchase!$A$1:$A$500&lt;=A1539)),Purchase!$G$1:$G$500)</f>
        <v/>
      </c>
      <c r="G1539" s="23">
        <f>+D1539*F1539</f>
        <v/>
      </c>
    </row>
    <row r="1540">
      <c r="A1540" s="8" t="n"/>
      <c r="B1540" s="8" t="n"/>
      <c r="C1540" s="21" t="n"/>
      <c r="D1540" s="22" t="n"/>
      <c r="E1540" s="22">
        <f>IFERROR(+VLOOKUP(C1540,Master!B:C,2,0),"")</f>
        <v/>
      </c>
      <c r="F1540" s="23">
        <f>LOOKUP(2,1/((Purchase!$D$1:$D$500=C1540)*(Purchase!$A$1:$A$500&lt;=A1540)),Purchase!$G$1:$G$500)</f>
        <v/>
      </c>
      <c r="G1540" s="23">
        <f>+D1540*F1540</f>
        <v/>
      </c>
    </row>
    <row r="1541">
      <c r="A1541" s="8" t="n"/>
      <c r="B1541" s="8" t="n"/>
      <c r="C1541" s="21" t="n"/>
      <c r="D1541" s="22" t="n"/>
      <c r="E1541" s="22">
        <f>IFERROR(+VLOOKUP(C1541,Master!B:C,2,0),"")</f>
        <v/>
      </c>
      <c r="F1541" s="23">
        <f>LOOKUP(2,1/((Purchase!$D$1:$D$500=C1541)*(Purchase!$A$1:$A$500&lt;=A1541)),Purchase!$G$1:$G$500)</f>
        <v/>
      </c>
      <c r="G1541" s="23">
        <f>+D1541*F1541</f>
        <v/>
      </c>
    </row>
    <row r="1542">
      <c r="A1542" s="8" t="n"/>
      <c r="B1542" s="8" t="n"/>
      <c r="C1542" s="21" t="n"/>
      <c r="D1542" s="22" t="n"/>
      <c r="E1542" s="22">
        <f>IFERROR(+VLOOKUP(C1542,Master!B:C,2,0),"")</f>
        <v/>
      </c>
      <c r="F1542" s="23">
        <f>LOOKUP(2,1/((Purchase!$D$1:$D$500=C1542)*(Purchase!$A$1:$A$500&lt;=A1542)),Purchase!$G$1:$G$500)</f>
        <v/>
      </c>
      <c r="G1542" s="23">
        <f>+D1542*F1542</f>
        <v/>
      </c>
    </row>
    <row r="1543">
      <c r="A1543" s="8" t="n"/>
      <c r="B1543" s="8" t="n"/>
      <c r="C1543" s="21" t="n"/>
      <c r="D1543" s="22" t="n"/>
      <c r="E1543" s="22">
        <f>IFERROR(+VLOOKUP(C1543,Master!B:C,2,0),"")</f>
        <v/>
      </c>
      <c r="F1543" s="23">
        <f>LOOKUP(2,1/((Purchase!$D$1:$D$500=C1543)*(Purchase!$A$1:$A$500&lt;=A1543)),Purchase!$G$1:$G$500)</f>
        <v/>
      </c>
      <c r="G1543" s="23">
        <f>+D1543*F1543</f>
        <v/>
      </c>
    </row>
    <row r="1544">
      <c r="A1544" s="8" t="n"/>
      <c r="B1544" s="8" t="n"/>
      <c r="C1544" s="21" t="n"/>
      <c r="D1544" s="22" t="n"/>
      <c r="E1544" s="22">
        <f>IFERROR(+VLOOKUP(C1544,Master!B:C,2,0),"")</f>
        <v/>
      </c>
      <c r="F1544" s="23">
        <f>LOOKUP(2,1/((Purchase!$D$1:$D$500=C1544)*(Purchase!$A$1:$A$500&lt;=A1544)),Purchase!$G$1:$G$500)</f>
        <v/>
      </c>
      <c r="G1544" s="23">
        <f>+D1544*F1544</f>
        <v/>
      </c>
    </row>
    <row r="1545">
      <c r="A1545" s="8" t="n"/>
      <c r="B1545" s="8" t="n"/>
      <c r="C1545" s="21" t="n"/>
      <c r="D1545" s="22" t="n"/>
      <c r="E1545" s="22">
        <f>IFERROR(+VLOOKUP(C1545,Master!B:C,2,0),"")</f>
        <v/>
      </c>
      <c r="F1545" s="23">
        <f>LOOKUP(2,1/((Purchase!$D$1:$D$500=C1545)*(Purchase!$A$1:$A$500&lt;=A1545)),Purchase!$G$1:$G$500)</f>
        <v/>
      </c>
      <c r="G1545" s="23">
        <f>+D1545*F1545</f>
        <v/>
      </c>
    </row>
    <row r="1546">
      <c r="A1546" s="8" t="n"/>
      <c r="B1546" s="8" t="n"/>
      <c r="C1546" s="21" t="n"/>
      <c r="D1546" s="22" t="n"/>
      <c r="E1546" s="22">
        <f>IFERROR(+VLOOKUP(C1546,Master!B:C,2,0),"")</f>
        <v/>
      </c>
      <c r="F1546" s="23">
        <f>LOOKUP(2,1/((Purchase!$D$1:$D$500=C1546)*(Purchase!$A$1:$A$500&lt;=A1546)),Purchase!$G$1:$G$500)</f>
        <v/>
      </c>
      <c r="G1546" s="23">
        <f>+D1546*F1546</f>
        <v/>
      </c>
    </row>
    <row r="1547">
      <c r="A1547" s="8" t="n"/>
      <c r="B1547" s="8" t="n"/>
      <c r="C1547" s="21" t="n"/>
      <c r="D1547" s="22" t="n"/>
      <c r="E1547" s="22">
        <f>IFERROR(+VLOOKUP(C1547,Master!B:C,2,0),"")</f>
        <v/>
      </c>
      <c r="F1547" s="23">
        <f>LOOKUP(2,1/((Purchase!$D$1:$D$500=C1547)*(Purchase!$A$1:$A$500&lt;=A1547)),Purchase!$G$1:$G$500)</f>
        <v/>
      </c>
      <c r="G1547" s="23">
        <f>+D1547*F1547</f>
        <v/>
      </c>
    </row>
    <row r="1548">
      <c r="A1548" s="8" t="n"/>
      <c r="B1548" s="8" t="n"/>
      <c r="C1548" s="21" t="n"/>
      <c r="D1548" s="22" t="n"/>
      <c r="E1548" s="22">
        <f>IFERROR(+VLOOKUP(C1548,Master!B:C,2,0),"")</f>
        <v/>
      </c>
      <c r="F1548" s="23">
        <f>LOOKUP(2,1/((Purchase!$D$1:$D$500=C1548)*(Purchase!$A$1:$A$500&lt;=A1548)),Purchase!$G$1:$G$500)</f>
        <v/>
      </c>
      <c r="G1548" s="23">
        <f>+D1548*F1548</f>
        <v/>
      </c>
    </row>
    <row r="1549">
      <c r="A1549" s="8" t="n"/>
      <c r="B1549" s="8" t="n"/>
      <c r="C1549" s="21" t="n"/>
      <c r="D1549" s="22" t="n"/>
      <c r="E1549" s="22">
        <f>IFERROR(+VLOOKUP(C1549,Master!B:C,2,0),"")</f>
        <v/>
      </c>
      <c r="F1549" s="23">
        <f>LOOKUP(2,1/((Purchase!$D$1:$D$500=C1549)*(Purchase!$A$1:$A$500&lt;=A1549)),Purchase!$G$1:$G$500)</f>
        <v/>
      </c>
      <c r="G1549" s="23">
        <f>+D1549*F1549</f>
        <v/>
      </c>
    </row>
    <row r="1550">
      <c r="A1550" s="8" t="n"/>
      <c r="B1550" s="8" t="n"/>
      <c r="C1550" s="21" t="n"/>
      <c r="D1550" s="22" t="n"/>
      <c r="E1550" s="22">
        <f>IFERROR(+VLOOKUP(C1550,Master!B:C,2,0),"")</f>
        <v/>
      </c>
      <c r="F1550" s="23">
        <f>LOOKUP(2,1/((Purchase!$D$1:$D$500=C1550)*(Purchase!$A$1:$A$500&lt;=A1550)),Purchase!$G$1:$G$500)</f>
        <v/>
      </c>
      <c r="G1550" s="23">
        <f>+D1550*F1550</f>
        <v/>
      </c>
    </row>
    <row r="1551">
      <c r="A1551" s="8" t="n"/>
      <c r="B1551" s="8" t="n"/>
      <c r="C1551" s="21" t="n"/>
      <c r="D1551" s="22" t="n"/>
      <c r="E1551" s="22">
        <f>IFERROR(+VLOOKUP(C1551,Master!B:C,2,0),"")</f>
        <v/>
      </c>
      <c r="F1551" s="23">
        <f>LOOKUP(2,1/((Purchase!$D$1:$D$500=C1551)*(Purchase!$A$1:$A$500&lt;=A1551)),Purchase!$G$1:$G$500)</f>
        <v/>
      </c>
      <c r="G1551" s="23">
        <f>+D1551*F1551</f>
        <v/>
      </c>
    </row>
    <row r="1552">
      <c r="A1552" s="8" t="n"/>
      <c r="B1552" s="8" t="n"/>
      <c r="C1552" s="21" t="n"/>
      <c r="D1552" s="22" t="n"/>
      <c r="E1552" s="22">
        <f>IFERROR(+VLOOKUP(C1552,Master!B:C,2,0),"")</f>
        <v/>
      </c>
      <c r="F1552" s="23">
        <f>LOOKUP(2,1/((Purchase!$D$1:$D$500=C1552)*(Purchase!$A$1:$A$500&lt;=A1552)),Purchase!$G$1:$G$500)</f>
        <v/>
      </c>
      <c r="G1552" s="23">
        <f>+D1552*F1552</f>
        <v/>
      </c>
    </row>
    <row r="1553">
      <c r="A1553" s="8" t="n"/>
      <c r="B1553" s="8" t="n"/>
      <c r="C1553" s="21" t="n"/>
      <c r="D1553" s="22" t="n"/>
      <c r="E1553" s="22">
        <f>IFERROR(+VLOOKUP(C1553,Master!B:C,2,0),"")</f>
        <v/>
      </c>
      <c r="F1553" s="23">
        <f>LOOKUP(2,1/((Purchase!$D$1:$D$500=C1553)*(Purchase!$A$1:$A$500&lt;=A1553)),Purchase!$G$1:$G$500)</f>
        <v/>
      </c>
      <c r="G1553" s="23">
        <f>+D1553*F1553</f>
        <v/>
      </c>
    </row>
    <row r="1554">
      <c r="A1554" s="8" t="n"/>
      <c r="B1554" s="8" t="n"/>
      <c r="C1554" s="21" t="n"/>
      <c r="D1554" s="22" t="n"/>
      <c r="E1554" s="22">
        <f>IFERROR(+VLOOKUP(C1554,Master!B:C,2,0),"")</f>
        <v/>
      </c>
      <c r="F1554" s="23">
        <f>LOOKUP(2,1/((Purchase!$D$1:$D$500=C1554)*(Purchase!$A$1:$A$500&lt;=A1554)),Purchase!$G$1:$G$500)</f>
        <v/>
      </c>
      <c r="G1554" s="23">
        <f>+D1554*F1554</f>
        <v/>
      </c>
    </row>
    <row r="1555">
      <c r="A1555" s="8" t="n"/>
      <c r="B1555" s="8" t="n"/>
      <c r="C1555" s="21" t="n"/>
      <c r="D1555" s="22" t="n"/>
      <c r="E1555" s="22">
        <f>IFERROR(+VLOOKUP(C1555,Master!B:C,2,0),"")</f>
        <v/>
      </c>
      <c r="F1555" s="23">
        <f>LOOKUP(2,1/((Purchase!$D$1:$D$500=C1555)*(Purchase!$A$1:$A$500&lt;=A1555)),Purchase!$G$1:$G$500)</f>
        <v/>
      </c>
      <c r="G1555" s="23">
        <f>+D1555*F1555</f>
        <v/>
      </c>
    </row>
    <row r="1556">
      <c r="A1556" s="8" t="n"/>
      <c r="B1556" s="8" t="n"/>
      <c r="C1556" s="21" t="n"/>
      <c r="D1556" s="22" t="n"/>
      <c r="E1556" s="22">
        <f>IFERROR(+VLOOKUP(C1556,Master!B:C,2,0),"")</f>
        <v/>
      </c>
      <c r="F1556" s="23">
        <f>LOOKUP(2,1/((Purchase!$D$1:$D$500=C1556)*(Purchase!$A$1:$A$500&lt;=A1556)),Purchase!$G$1:$G$500)</f>
        <v/>
      </c>
      <c r="G1556" s="23">
        <f>+D1556*F1556</f>
        <v/>
      </c>
    </row>
    <row r="1557">
      <c r="A1557" s="8" t="n"/>
      <c r="B1557" s="8" t="n"/>
      <c r="C1557" s="21" t="n"/>
      <c r="D1557" s="22" t="n"/>
      <c r="E1557" s="22">
        <f>IFERROR(+VLOOKUP(C1557,Master!B:C,2,0),"")</f>
        <v/>
      </c>
      <c r="F1557" s="23">
        <f>LOOKUP(2,1/((Purchase!$D$1:$D$500=C1557)*(Purchase!$A$1:$A$500&lt;=A1557)),Purchase!$G$1:$G$500)</f>
        <v/>
      </c>
      <c r="G1557" s="23">
        <f>+D1557*F1557</f>
        <v/>
      </c>
    </row>
    <row r="1558">
      <c r="A1558" s="8" t="n"/>
      <c r="B1558" s="8" t="n"/>
      <c r="C1558" s="21" t="n"/>
      <c r="D1558" s="22" t="n"/>
      <c r="E1558" s="22">
        <f>IFERROR(+VLOOKUP(C1558,Master!B:C,2,0),"")</f>
        <v/>
      </c>
      <c r="F1558" s="23">
        <f>LOOKUP(2,1/((Purchase!$D$1:$D$500=C1558)*(Purchase!$A$1:$A$500&lt;=A1558)),Purchase!$G$1:$G$500)</f>
        <v/>
      </c>
      <c r="G1558" s="23">
        <f>+D1558*F1558</f>
        <v/>
      </c>
    </row>
    <row r="1559">
      <c r="A1559" s="8" t="n"/>
      <c r="B1559" s="8" t="n"/>
      <c r="C1559" s="21" t="n"/>
      <c r="D1559" s="22" t="n"/>
      <c r="E1559" s="22">
        <f>IFERROR(+VLOOKUP(C1559,Master!B:C,2,0),"")</f>
        <v/>
      </c>
      <c r="F1559" s="23">
        <f>LOOKUP(2,1/((Purchase!$D$1:$D$500=C1559)*(Purchase!$A$1:$A$500&lt;=A1559)),Purchase!$G$1:$G$500)</f>
        <v/>
      </c>
      <c r="G1559" s="23">
        <f>+D1559*F1559</f>
        <v/>
      </c>
    </row>
    <row r="1560">
      <c r="A1560" s="8" t="n"/>
      <c r="B1560" s="8" t="n"/>
      <c r="C1560" s="21" t="n"/>
      <c r="D1560" s="22" t="n"/>
      <c r="E1560" s="22">
        <f>IFERROR(+VLOOKUP(C1560,Master!B:C,2,0),"")</f>
        <v/>
      </c>
      <c r="F1560" s="23">
        <f>LOOKUP(2,1/((Purchase!$D$1:$D$500=C1560)*(Purchase!$A$1:$A$500&lt;=A1560)),Purchase!$G$1:$G$500)</f>
        <v/>
      </c>
      <c r="G1560" s="23">
        <f>+D1560*F1560</f>
        <v/>
      </c>
    </row>
    <row r="1561">
      <c r="A1561" s="8" t="n"/>
      <c r="B1561" s="8" t="n"/>
      <c r="C1561" s="21" t="n"/>
      <c r="D1561" s="22" t="n"/>
      <c r="E1561" s="22">
        <f>IFERROR(+VLOOKUP(C1561,Master!B:C,2,0),"")</f>
        <v/>
      </c>
      <c r="F1561" s="23">
        <f>LOOKUP(2,1/((Purchase!$D$1:$D$500=C1561)*(Purchase!$A$1:$A$500&lt;=A1561)),Purchase!$G$1:$G$500)</f>
        <v/>
      </c>
      <c r="G1561" s="23">
        <f>+D1561*F1561</f>
        <v/>
      </c>
    </row>
    <row r="1562">
      <c r="A1562" s="8" t="n"/>
      <c r="B1562" s="8" t="n"/>
      <c r="C1562" s="21" t="n"/>
      <c r="D1562" s="22" t="n"/>
      <c r="E1562" s="22">
        <f>IFERROR(+VLOOKUP(C1562,Master!B:C,2,0),"")</f>
        <v/>
      </c>
      <c r="F1562" s="23">
        <f>LOOKUP(2,1/((Purchase!$D$1:$D$500=C1562)*(Purchase!$A$1:$A$500&lt;=A1562)),Purchase!$G$1:$G$500)</f>
        <v/>
      </c>
      <c r="G1562" s="23">
        <f>+D1562*F1562</f>
        <v/>
      </c>
    </row>
    <row r="1563">
      <c r="A1563" s="8" t="n"/>
      <c r="B1563" s="8" t="n"/>
      <c r="C1563" s="21" t="n"/>
      <c r="D1563" s="22" t="n"/>
      <c r="E1563" s="22">
        <f>IFERROR(+VLOOKUP(C1563,Master!B:C,2,0),"")</f>
        <v/>
      </c>
      <c r="F1563" s="23">
        <f>LOOKUP(2,1/((Purchase!$D$1:$D$500=C1563)*(Purchase!$A$1:$A$500&lt;=A1563)),Purchase!$G$1:$G$500)</f>
        <v/>
      </c>
      <c r="G1563" s="23">
        <f>+D1563*F1563</f>
        <v/>
      </c>
    </row>
    <row r="1564">
      <c r="A1564" s="8" t="n"/>
      <c r="B1564" s="8" t="n"/>
      <c r="C1564" s="21" t="n"/>
      <c r="D1564" s="22" t="n"/>
      <c r="E1564" s="22">
        <f>IFERROR(+VLOOKUP(C1564,Master!B:C,2,0),"")</f>
        <v/>
      </c>
      <c r="F1564" s="23">
        <f>LOOKUP(2,1/((Purchase!$D$1:$D$500=C1564)*(Purchase!$A$1:$A$500&lt;=A1564)),Purchase!$G$1:$G$500)</f>
        <v/>
      </c>
      <c r="G1564" s="23">
        <f>+D1564*F1564</f>
        <v/>
      </c>
    </row>
    <row r="1565">
      <c r="A1565" s="8" t="n"/>
      <c r="B1565" s="8" t="n"/>
      <c r="C1565" s="21" t="n"/>
      <c r="D1565" s="22" t="n"/>
      <c r="E1565" s="22">
        <f>IFERROR(+VLOOKUP(C1565,Master!B:C,2,0),"")</f>
        <v/>
      </c>
      <c r="F1565" s="23">
        <f>LOOKUP(2,1/((Purchase!$D$1:$D$500=C1565)*(Purchase!$A$1:$A$500&lt;=A1565)),Purchase!$G$1:$G$500)</f>
        <v/>
      </c>
      <c r="G1565" s="23">
        <f>+D1565*F1565</f>
        <v/>
      </c>
    </row>
    <row r="1566">
      <c r="A1566" s="8" t="n"/>
      <c r="B1566" s="8" t="n"/>
      <c r="C1566" s="21" t="n"/>
      <c r="D1566" s="22" t="n"/>
      <c r="E1566" s="22">
        <f>IFERROR(+VLOOKUP(C1566,Master!B:C,2,0),"")</f>
        <v/>
      </c>
      <c r="F1566" s="23">
        <f>LOOKUP(2,1/((Purchase!$D$1:$D$500=C1566)*(Purchase!$A$1:$A$500&lt;=A1566)),Purchase!$G$1:$G$500)</f>
        <v/>
      </c>
      <c r="G1566" s="23">
        <f>+D1566*F1566</f>
        <v/>
      </c>
    </row>
    <row r="1567">
      <c r="A1567" s="8" t="n"/>
      <c r="B1567" s="8" t="n"/>
      <c r="C1567" s="21" t="n"/>
      <c r="D1567" s="22" t="n"/>
      <c r="E1567" s="22">
        <f>IFERROR(+VLOOKUP(C1567,Master!B:C,2,0),"")</f>
        <v/>
      </c>
      <c r="F1567" s="23">
        <f>LOOKUP(2,1/((Purchase!$D$1:$D$500=C1567)*(Purchase!$A$1:$A$500&lt;=A1567)),Purchase!$G$1:$G$500)</f>
        <v/>
      </c>
      <c r="G1567" s="23">
        <f>+D1567*F1567</f>
        <v/>
      </c>
    </row>
    <row r="1568">
      <c r="A1568" s="8" t="n"/>
      <c r="B1568" s="8" t="n"/>
      <c r="C1568" s="21" t="n"/>
      <c r="D1568" s="22" t="n"/>
      <c r="E1568" s="22">
        <f>IFERROR(+VLOOKUP(C1568,Master!B:C,2,0),"")</f>
        <v/>
      </c>
      <c r="F1568" s="23">
        <f>LOOKUP(2,1/((Purchase!$D$1:$D$500=C1568)*(Purchase!$A$1:$A$500&lt;=A1568)),Purchase!$G$1:$G$500)</f>
        <v/>
      </c>
      <c r="G1568" s="23">
        <f>+D1568*F1568</f>
        <v/>
      </c>
    </row>
    <row r="1569">
      <c r="A1569" s="8" t="n"/>
      <c r="B1569" s="8" t="n"/>
      <c r="C1569" s="21" t="n"/>
      <c r="D1569" s="22" t="n"/>
      <c r="E1569" s="22">
        <f>IFERROR(+VLOOKUP(C1569,Master!B:C,2,0),"")</f>
        <v/>
      </c>
      <c r="F1569" s="23">
        <f>LOOKUP(2,1/((Purchase!$D$1:$D$500=C1569)*(Purchase!$A$1:$A$500&lt;=A1569)),Purchase!$G$1:$G$500)</f>
        <v/>
      </c>
      <c r="G1569" s="23">
        <f>+D1569*F1569</f>
        <v/>
      </c>
    </row>
    <row r="1570">
      <c r="A1570" s="8" t="n"/>
      <c r="B1570" s="8" t="n"/>
      <c r="C1570" s="21" t="n"/>
      <c r="D1570" s="22" t="n"/>
      <c r="E1570" s="22">
        <f>IFERROR(+VLOOKUP(C1570,Master!B:C,2,0),"")</f>
        <v/>
      </c>
      <c r="F1570" s="23">
        <f>LOOKUP(2,1/((Purchase!$D$1:$D$500=C1570)*(Purchase!$A$1:$A$500&lt;=A1570)),Purchase!$G$1:$G$500)</f>
        <v/>
      </c>
      <c r="G1570" s="23">
        <f>+D1570*F1570</f>
        <v/>
      </c>
    </row>
    <row r="1571">
      <c r="A1571" s="8" t="n"/>
      <c r="B1571" s="8" t="n"/>
      <c r="C1571" s="21" t="n"/>
      <c r="D1571" s="22" t="n"/>
      <c r="E1571" s="22">
        <f>IFERROR(+VLOOKUP(C1571,Master!B:C,2,0),"")</f>
        <v/>
      </c>
      <c r="F1571" s="23">
        <f>LOOKUP(2,1/((Purchase!$D$1:$D$500=C1571)*(Purchase!$A$1:$A$500&lt;=A1571)),Purchase!$G$1:$G$500)</f>
        <v/>
      </c>
      <c r="G1571" s="23">
        <f>+D1571*F1571</f>
        <v/>
      </c>
    </row>
    <row r="1572">
      <c r="A1572" s="8" t="n"/>
      <c r="B1572" s="8" t="n"/>
      <c r="C1572" s="21" t="n"/>
      <c r="D1572" s="22" t="n"/>
      <c r="E1572" s="22">
        <f>IFERROR(+VLOOKUP(C1572,Master!B:C,2,0),"")</f>
        <v/>
      </c>
      <c r="F1572" s="23">
        <f>LOOKUP(2,1/((Purchase!$D$1:$D$500=C1572)*(Purchase!$A$1:$A$500&lt;=A1572)),Purchase!$G$1:$G$500)</f>
        <v/>
      </c>
      <c r="G1572" s="23">
        <f>+D1572*F1572</f>
        <v/>
      </c>
    </row>
    <row r="1573">
      <c r="A1573" s="8" t="n"/>
      <c r="B1573" s="8" t="n"/>
      <c r="C1573" s="21" t="n"/>
      <c r="D1573" s="22" t="n"/>
      <c r="E1573" s="22">
        <f>IFERROR(+VLOOKUP(C1573,Master!B:C,2,0),"")</f>
        <v/>
      </c>
      <c r="F1573" s="23">
        <f>LOOKUP(2,1/((Purchase!$D$1:$D$500=C1573)*(Purchase!$A$1:$A$500&lt;=A1573)),Purchase!$G$1:$G$500)</f>
        <v/>
      </c>
      <c r="G1573" s="23">
        <f>+D1573*F1573</f>
        <v/>
      </c>
    </row>
    <row r="1574">
      <c r="A1574" s="8" t="n"/>
      <c r="B1574" s="8" t="n"/>
      <c r="C1574" s="21" t="n"/>
      <c r="D1574" s="22" t="n"/>
      <c r="E1574" s="22">
        <f>IFERROR(+VLOOKUP(C1574,Master!B:C,2,0),"")</f>
        <v/>
      </c>
      <c r="F1574" s="23">
        <f>LOOKUP(2,1/((Purchase!$D$1:$D$500=C1574)*(Purchase!$A$1:$A$500&lt;=A1574)),Purchase!$G$1:$G$500)</f>
        <v/>
      </c>
      <c r="G1574" s="23">
        <f>+D1574*F1574</f>
        <v/>
      </c>
    </row>
    <row r="1575">
      <c r="A1575" s="8" t="n"/>
      <c r="B1575" s="8" t="n"/>
      <c r="C1575" s="21" t="n"/>
      <c r="D1575" s="22" t="n"/>
      <c r="E1575" s="22">
        <f>IFERROR(+VLOOKUP(C1575,Master!B:C,2,0),"")</f>
        <v/>
      </c>
      <c r="F1575" s="23">
        <f>LOOKUP(2,1/((Purchase!$D$1:$D$500=C1575)*(Purchase!$A$1:$A$500&lt;=A1575)),Purchase!$G$1:$G$500)</f>
        <v/>
      </c>
      <c r="G1575" s="23">
        <f>+D1575*F1575</f>
        <v/>
      </c>
    </row>
    <row r="1576">
      <c r="A1576" s="8" t="n"/>
      <c r="B1576" s="8" t="n"/>
      <c r="C1576" s="21" t="n"/>
      <c r="D1576" s="22" t="n"/>
      <c r="E1576" s="22">
        <f>IFERROR(+VLOOKUP(C1576,Master!B:C,2,0),"")</f>
        <v/>
      </c>
      <c r="F1576" s="23">
        <f>LOOKUP(2,1/((Purchase!$D$1:$D$500=C1576)*(Purchase!$A$1:$A$500&lt;=A1576)),Purchase!$G$1:$G$500)</f>
        <v/>
      </c>
      <c r="G1576" s="23">
        <f>+D1576*F1576</f>
        <v/>
      </c>
    </row>
    <row r="1577">
      <c r="A1577" s="8" t="n"/>
      <c r="B1577" s="8" t="n"/>
      <c r="C1577" s="21" t="n"/>
      <c r="D1577" s="22" t="n"/>
      <c r="E1577" s="22">
        <f>IFERROR(+VLOOKUP(C1577,Master!B:C,2,0),"")</f>
        <v/>
      </c>
      <c r="F1577" s="23">
        <f>LOOKUP(2,1/((Purchase!$D$1:$D$500=C1577)*(Purchase!$A$1:$A$500&lt;=A1577)),Purchase!$G$1:$G$500)</f>
        <v/>
      </c>
      <c r="G1577" s="23">
        <f>+D1577*F1577</f>
        <v/>
      </c>
    </row>
    <row r="1578">
      <c r="A1578" s="8" t="n"/>
      <c r="B1578" s="8" t="n"/>
      <c r="C1578" s="21" t="n"/>
      <c r="D1578" s="22" t="n"/>
      <c r="E1578" s="22">
        <f>IFERROR(+VLOOKUP(C1578,Master!B:C,2,0),"")</f>
        <v/>
      </c>
      <c r="F1578" s="23">
        <f>LOOKUP(2,1/((Purchase!$D$1:$D$500=C1578)*(Purchase!$A$1:$A$500&lt;=A1578)),Purchase!$G$1:$G$500)</f>
        <v/>
      </c>
      <c r="G1578" s="23">
        <f>+D1578*F1578</f>
        <v/>
      </c>
    </row>
    <row r="1579">
      <c r="A1579" s="8" t="n"/>
      <c r="B1579" s="8" t="n"/>
      <c r="C1579" s="21" t="n"/>
      <c r="D1579" s="22" t="n"/>
      <c r="E1579" s="22">
        <f>IFERROR(+VLOOKUP(C1579,Master!B:C,2,0),"")</f>
        <v/>
      </c>
      <c r="F1579" s="23">
        <f>LOOKUP(2,1/((Purchase!$D$1:$D$500=C1579)*(Purchase!$A$1:$A$500&lt;=A1579)),Purchase!$G$1:$G$500)</f>
        <v/>
      </c>
      <c r="G1579" s="23">
        <f>+D1579*F1579</f>
        <v/>
      </c>
    </row>
    <row r="1580">
      <c r="A1580" s="8" t="n"/>
      <c r="B1580" s="8" t="n"/>
      <c r="C1580" s="21" t="n"/>
      <c r="D1580" s="22" t="n"/>
      <c r="E1580" s="22">
        <f>IFERROR(+VLOOKUP(C1580,Master!B:C,2,0),"")</f>
        <v/>
      </c>
      <c r="F1580" s="23">
        <f>LOOKUP(2,1/((Purchase!$D$1:$D$500=C1580)*(Purchase!$A$1:$A$500&lt;=A1580)),Purchase!$G$1:$G$500)</f>
        <v/>
      </c>
      <c r="G1580" s="23">
        <f>+D1580*F1580</f>
        <v/>
      </c>
    </row>
    <row r="1581">
      <c r="A1581" s="8" t="n"/>
      <c r="B1581" s="8" t="n"/>
      <c r="C1581" s="21" t="n"/>
      <c r="D1581" s="22" t="n"/>
      <c r="E1581" s="22">
        <f>IFERROR(+VLOOKUP(C1581,Master!B:C,2,0),"")</f>
        <v/>
      </c>
      <c r="F1581" s="23">
        <f>LOOKUP(2,1/((Purchase!$D$1:$D$500=C1581)*(Purchase!$A$1:$A$500&lt;=A1581)),Purchase!$G$1:$G$500)</f>
        <v/>
      </c>
      <c r="G1581" s="23">
        <f>+D1581*F1581</f>
        <v/>
      </c>
    </row>
    <row r="1582">
      <c r="A1582" s="8" t="n"/>
      <c r="B1582" s="8" t="n"/>
      <c r="C1582" s="21" t="n"/>
      <c r="D1582" s="22" t="n"/>
      <c r="E1582" s="22">
        <f>IFERROR(+VLOOKUP(C1582,Master!B:C,2,0),"")</f>
        <v/>
      </c>
      <c r="F1582" s="23">
        <f>LOOKUP(2,1/((Purchase!$D$1:$D$500=C1582)*(Purchase!$A$1:$A$500&lt;=A1582)),Purchase!$G$1:$G$500)</f>
        <v/>
      </c>
      <c r="G1582" s="23">
        <f>+D1582*F1582</f>
        <v/>
      </c>
    </row>
    <row r="1583">
      <c r="A1583" s="8" t="n"/>
      <c r="B1583" s="8" t="n"/>
      <c r="C1583" s="21" t="n"/>
      <c r="D1583" s="22" t="n"/>
      <c r="E1583" s="22">
        <f>IFERROR(+VLOOKUP(C1583,Master!B:C,2,0),"")</f>
        <v/>
      </c>
      <c r="F1583" s="23">
        <f>LOOKUP(2,1/((Purchase!$D$1:$D$500=C1583)*(Purchase!$A$1:$A$500&lt;=A1583)),Purchase!$G$1:$G$500)</f>
        <v/>
      </c>
      <c r="G1583" s="23">
        <f>+D1583*F1583</f>
        <v/>
      </c>
    </row>
    <row r="1584">
      <c r="A1584" s="8" t="n"/>
      <c r="B1584" s="8" t="n"/>
      <c r="C1584" s="21" t="n"/>
      <c r="D1584" s="22" t="n"/>
      <c r="E1584" s="22">
        <f>IFERROR(+VLOOKUP(C1584,Master!B:C,2,0),"")</f>
        <v/>
      </c>
      <c r="F1584" s="23">
        <f>LOOKUP(2,1/((Purchase!$D$1:$D$500=C1584)*(Purchase!$A$1:$A$500&lt;=A1584)),Purchase!$G$1:$G$500)</f>
        <v/>
      </c>
      <c r="G1584" s="23">
        <f>+D1584*F1584</f>
        <v/>
      </c>
    </row>
    <row r="1585">
      <c r="A1585" s="8" t="n"/>
      <c r="B1585" s="8" t="n"/>
      <c r="C1585" s="21" t="n"/>
      <c r="D1585" s="22" t="n"/>
      <c r="E1585" s="22">
        <f>IFERROR(+VLOOKUP(C1585,Master!B:C,2,0),"")</f>
        <v/>
      </c>
      <c r="F1585" s="23">
        <f>LOOKUP(2,1/((Purchase!$D$1:$D$500=C1585)*(Purchase!$A$1:$A$500&lt;=A1585)),Purchase!$G$1:$G$500)</f>
        <v/>
      </c>
      <c r="G1585" s="23">
        <f>+D1585*F1585</f>
        <v/>
      </c>
    </row>
    <row r="1586">
      <c r="A1586" s="8" t="n"/>
      <c r="B1586" s="8" t="n"/>
      <c r="C1586" s="21" t="n"/>
      <c r="D1586" s="22" t="n"/>
      <c r="E1586" s="22">
        <f>IFERROR(+VLOOKUP(C1586,Master!B:C,2,0),"")</f>
        <v/>
      </c>
      <c r="F1586" s="23">
        <f>LOOKUP(2,1/((Purchase!$D$1:$D$500=C1586)*(Purchase!$A$1:$A$500&lt;=A1586)),Purchase!$G$1:$G$500)</f>
        <v/>
      </c>
      <c r="G1586" s="23">
        <f>+D1586*F1586</f>
        <v/>
      </c>
    </row>
    <row r="1587">
      <c r="A1587" s="8" t="n"/>
      <c r="B1587" s="8" t="n"/>
      <c r="C1587" s="21" t="n"/>
      <c r="D1587" s="22" t="n"/>
      <c r="E1587" s="22">
        <f>IFERROR(+VLOOKUP(C1587,Master!B:C,2,0),"")</f>
        <v/>
      </c>
      <c r="F1587" s="23">
        <f>LOOKUP(2,1/((Purchase!$D$1:$D$500=C1587)*(Purchase!$A$1:$A$500&lt;=A1587)),Purchase!$G$1:$G$500)</f>
        <v/>
      </c>
      <c r="G1587" s="23">
        <f>+D1587*F1587</f>
        <v/>
      </c>
    </row>
    <row r="1588">
      <c r="A1588" s="8" t="n"/>
      <c r="B1588" s="8" t="n"/>
      <c r="C1588" s="21" t="n"/>
      <c r="D1588" s="22" t="n"/>
      <c r="E1588" s="22">
        <f>IFERROR(+VLOOKUP(C1588,Master!B:C,2,0),"")</f>
        <v/>
      </c>
      <c r="F1588" s="23">
        <f>LOOKUP(2,1/((Purchase!$D$1:$D$500=C1588)*(Purchase!$A$1:$A$500&lt;=A1588)),Purchase!$G$1:$G$500)</f>
        <v/>
      </c>
      <c r="G1588" s="23">
        <f>+D1588*F1588</f>
        <v/>
      </c>
    </row>
    <row r="1589">
      <c r="A1589" s="8" t="n"/>
      <c r="B1589" s="8" t="n"/>
      <c r="C1589" s="21" t="n"/>
      <c r="D1589" s="22" t="n"/>
      <c r="E1589" s="22">
        <f>IFERROR(+VLOOKUP(C1589,Master!B:C,2,0),"")</f>
        <v/>
      </c>
      <c r="F1589" s="23">
        <f>LOOKUP(2,1/((Purchase!$D$1:$D$500=C1589)*(Purchase!$A$1:$A$500&lt;=A1589)),Purchase!$G$1:$G$500)</f>
        <v/>
      </c>
      <c r="G1589" s="23">
        <f>+D1589*F1589</f>
        <v/>
      </c>
    </row>
    <row r="1590">
      <c r="A1590" s="8" t="n"/>
      <c r="B1590" s="8" t="n"/>
      <c r="C1590" s="21" t="n"/>
      <c r="D1590" s="22" t="n"/>
      <c r="E1590" s="22">
        <f>IFERROR(+VLOOKUP(C1590,Master!B:C,2,0),"")</f>
        <v/>
      </c>
      <c r="F1590" s="23">
        <f>LOOKUP(2,1/((Purchase!$D$1:$D$500=C1590)*(Purchase!$A$1:$A$500&lt;=A1590)),Purchase!$G$1:$G$500)</f>
        <v/>
      </c>
      <c r="G1590" s="23">
        <f>+D1590*F1590</f>
        <v/>
      </c>
    </row>
    <row r="1591">
      <c r="A1591" s="8" t="n"/>
      <c r="B1591" s="8" t="n"/>
      <c r="C1591" s="21" t="n"/>
      <c r="D1591" s="22" t="n"/>
      <c r="E1591" s="22">
        <f>IFERROR(+VLOOKUP(C1591,Master!B:C,2,0),"")</f>
        <v/>
      </c>
      <c r="F1591" s="23">
        <f>LOOKUP(2,1/((Purchase!$D$1:$D$500=C1591)*(Purchase!$A$1:$A$500&lt;=A1591)),Purchase!$G$1:$G$500)</f>
        <v/>
      </c>
      <c r="G1591" s="23">
        <f>+D1591*F1591</f>
        <v/>
      </c>
    </row>
    <row r="1592">
      <c r="A1592" s="8" t="n"/>
      <c r="B1592" s="8" t="n"/>
      <c r="C1592" s="21" t="n"/>
      <c r="D1592" s="22" t="n"/>
      <c r="E1592" s="22">
        <f>IFERROR(+VLOOKUP(C1592,Master!B:C,2,0),"")</f>
        <v/>
      </c>
      <c r="F1592" s="23">
        <f>LOOKUP(2,1/((Purchase!$D$1:$D$500=C1592)*(Purchase!$A$1:$A$500&lt;=A1592)),Purchase!$G$1:$G$500)</f>
        <v/>
      </c>
      <c r="G1592" s="23">
        <f>+D1592*F1592</f>
        <v/>
      </c>
    </row>
    <row r="1593">
      <c r="A1593" s="8" t="n"/>
      <c r="B1593" s="8" t="n"/>
      <c r="C1593" s="21" t="n"/>
      <c r="D1593" s="22" t="n"/>
      <c r="E1593" s="22">
        <f>IFERROR(+VLOOKUP(C1593,Master!B:C,2,0),"")</f>
        <v/>
      </c>
      <c r="F1593" s="23">
        <f>LOOKUP(2,1/((Purchase!$D$1:$D$500=C1593)*(Purchase!$A$1:$A$500&lt;=A1593)),Purchase!$G$1:$G$500)</f>
        <v/>
      </c>
      <c r="G1593" s="23">
        <f>+D1593*F1593</f>
        <v/>
      </c>
    </row>
    <row r="1594">
      <c r="A1594" s="8" t="n"/>
      <c r="B1594" s="8" t="n"/>
      <c r="C1594" s="21" t="n"/>
      <c r="D1594" s="22" t="n"/>
      <c r="E1594" s="22">
        <f>IFERROR(+VLOOKUP(C1594,Master!B:C,2,0),"")</f>
        <v/>
      </c>
      <c r="F1594" s="23">
        <f>LOOKUP(2,1/((Purchase!$D$1:$D$500=C1594)*(Purchase!$A$1:$A$500&lt;=A1594)),Purchase!$G$1:$G$500)</f>
        <v/>
      </c>
      <c r="G1594" s="23">
        <f>+D1594*F1594</f>
        <v/>
      </c>
    </row>
    <row r="1595">
      <c r="A1595" s="8" t="n"/>
      <c r="B1595" s="8" t="n"/>
      <c r="C1595" s="21" t="n"/>
      <c r="D1595" s="22" t="n"/>
      <c r="E1595" s="22">
        <f>IFERROR(+VLOOKUP(C1595,Master!B:C,2,0),"")</f>
        <v/>
      </c>
      <c r="F1595" s="23">
        <f>LOOKUP(2,1/((Purchase!$D$1:$D$500=C1595)*(Purchase!$A$1:$A$500&lt;=A1595)),Purchase!$G$1:$G$500)</f>
        <v/>
      </c>
      <c r="G1595" s="23">
        <f>+D1595*F1595</f>
        <v/>
      </c>
    </row>
    <row r="1596">
      <c r="A1596" s="8" t="n"/>
      <c r="B1596" s="8" t="n"/>
      <c r="C1596" s="21" t="n"/>
      <c r="D1596" s="22" t="n"/>
      <c r="E1596" s="22">
        <f>IFERROR(+VLOOKUP(C1596,Master!B:C,2,0),"")</f>
        <v/>
      </c>
      <c r="F1596" s="23">
        <f>LOOKUP(2,1/((Purchase!$D$1:$D$500=C1596)*(Purchase!$A$1:$A$500&lt;=A1596)),Purchase!$G$1:$G$500)</f>
        <v/>
      </c>
      <c r="G1596" s="23">
        <f>+D1596*F1596</f>
        <v/>
      </c>
    </row>
    <row r="1597">
      <c r="A1597" s="8" t="n"/>
      <c r="B1597" s="8" t="n"/>
      <c r="C1597" s="21" t="n"/>
      <c r="D1597" s="22" t="n"/>
      <c r="E1597" s="22">
        <f>IFERROR(+VLOOKUP(C1597,Master!B:C,2,0),"")</f>
        <v/>
      </c>
      <c r="F1597" s="23">
        <f>LOOKUP(2,1/((Purchase!$D$1:$D$500=C1597)*(Purchase!$A$1:$A$500&lt;=A1597)),Purchase!$G$1:$G$500)</f>
        <v/>
      </c>
      <c r="G1597" s="23">
        <f>+D1597*F1597</f>
        <v/>
      </c>
    </row>
    <row r="1598">
      <c r="A1598" s="8" t="n"/>
      <c r="B1598" s="8" t="n"/>
      <c r="C1598" s="21" t="n"/>
      <c r="D1598" s="22" t="n"/>
      <c r="E1598" s="22">
        <f>IFERROR(+VLOOKUP(C1598,Master!B:C,2,0),"")</f>
        <v/>
      </c>
      <c r="F1598" s="23">
        <f>LOOKUP(2,1/((Purchase!$D$1:$D$500=C1598)*(Purchase!$A$1:$A$500&lt;=A1598)),Purchase!$G$1:$G$500)</f>
        <v/>
      </c>
      <c r="G1598" s="23">
        <f>+D1598*F1598</f>
        <v/>
      </c>
    </row>
    <row r="1599">
      <c r="A1599" s="8" t="n"/>
      <c r="B1599" s="8" t="n"/>
      <c r="C1599" s="21" t="n"/>
      <c r="D1599" s="22" t="n"/>
      <c r="E1599" s="22">
        <f>IFERROR(+VLOOKUP(C1599,Master!B:C,2,0),"")</f>
        <v/>
      </c>
      <c r="F1599" s="23">
        <f>LOOKUP(2,1/((Purchase!$D$1:$D$500=C1599)*(Purchase!$A$1:$A$500&lt;=A1599)),Purchase!$G$1:$G$500)</f>
        <v/>
      </c>
      <c r="G1599" s="23">
        <f>+D1599*F1599</f>
        <v/>
      </c>
    </row>
    <row r="1600">
      <c r="A1600" s="8" t="n"/>
      <c r="B1600" s="8" t="n"/>
      <c r="C1600" s="21" t="n"/>
      <c r="D1600" s="22" t="n"/>
      <c r="E1600" s="22">
        <f>IFERROR(+VLOOKUP(C1600,Master!B:C,2,0),"")</f>
        <v/>
      </c>
      <c r="F1600" s="23">
        <f>LOOKUP(2,1/((Purchase!$D$1:$D$500=C1600)*(Purchase!$A$1:$A$500&lt;=A1600)),Purchase!$G$1:$G$500)</f>
        <v/>
      </c>
      <c r="G1600" s="23">
        <f>+D1600*F1600</f>
        <v/>
      </c>
    </row>
    <row r="1601">
      <c r="A1601" s="8" t="n"/>
      <c r="B1601" s="8" t="n"/>
      <c r="C1601" s="21" t="n"/>
      <c r="D1601" s="22" t="n"/>
      <c r="E1601" s="22">
        <f>IFERROR(+VLOOKUP(C1601,Master!B:C,2,0),"")</f>
        <v/>
      </c>
      <c r="F1601" s="23">
        <f>LOOKUP(2,1/((Purchase!$D$1:$D$500=C1601)*(Purchase!$A$1:$A$500&lt;=A1601)),Purchase!$G$1:$G$500)</f>
        <v/>
      </c>
      <c r="G1601" s="23">
        <f>+D1601*F1601</f>
        <v/>
      </c>
    </row>
    <row r="1602">
      <c r="A1602" s="8" t="n"/>
      <c r="B1602" s="8" t="n"/>
      <c r="C1602" s="21" t="n"/>
      <c r="D1602" s="22" t="n"/>
      <c r="E1602" s="22">
        <f>IFERROR(+VLOOKUP(C1602,Master!B:C,2,0),"")</f>
        <v/>
      </c>
      <c r="F1602" s="23">
        <f>LOOKUP(2,1/((Purchase!$D$1:$D$500=C1602)*(Purchase!$A$1:$A$500&lt;=A1602)),Purchase!$G$1:$G$500)</f>
        <v/>
      </c>
      <c r="G1602" s="23">
        <f>+D1602*F1602</f>
        <v/>
      </c>
    </row>
    <row r="1603">
      <c r="A1603" s="8" t="n"/>
      <c r="B1603" s="8" t="n"/>
      <c r="C1603" s="21" t="n"/>
      <c r="D1603" s="22" t="n"/>
      <c r="E1603" s="22">
        <f>IFERROR(+VLOOKUP(C1603,Master!B:C,2,0),"")</f>
        <v/>
      </c>
      <c r="F1603" s="23">
        <f>LOOKUP(2,1/((Purchase!$D$1:$D$500=C1603)*(Purchase!$A$1:$A$500&lt;=A1603)),Purchase!$G$1:$G$500)</f>
        <v/>
      </c>
      <c r="G1603" s="23">
        <f>+D1603*F1603</f>
        <v/>
      </c>
    </row>
    <row r="1604">
      <c r="A1604" s="8" t="n"/>
      <c r="B1604" s="8" t="n"/>
      <c r="C1604" s="21" t="n"/>
      <c r="D1604" s="22" t="n"/>
      <c r="E1604" s="22">
        <f>IFERROR(+VLOOKUP(C1604,Master!B:C,2,0),"")</f>
        <v/>
      </c>
      <c r="F1604" s="23">
        <f>LOOKUP(2,1/((Purchase!$D$1:$D$500=C1604)*(Purchase!$A$1:$A$500&lt;=A1604)),Purchase!$G$1:$G$500)</f>
        <v/>
      </c>
      <c r="G1604" s="23">
        <f>+D1604*F1604</f>
        <v/>
      </c>
    </row>
    <row r="1605">
      <c r="A1605" s="8" t="n"/>
      <c r="B1605" s="8" t="n"/>
      <c r="C1605" s="21" t="n"/>
      <c r="D1605" s="22" t="n"/>
      <c r="E1605" s="22">
        <f>IFERROR(+VLOOKUP(C1605,Master!B:C,2,0),"")</f>
        <v/>
      </c>
      <c r="F1605" s="23">
        <f>LOOKUP(2,1/((Purchase!$D$1:$D$500=C1605)*(Purchase!$A$1:$A$500&lt;=A1605)),Purchase!$G$1:$G$500)</f>
        <v/>
      </c>
      <c r="G1605" s="23">
        <f>+D1605*F1605</f>
        <v/>
      </c>
    </row>
    <row r="1606">
      <c r="A1606" s="8" t="n"/>
      <c r="B1606" s="8" t="n"/>
      <c r="C1606" s="21" t="n"/>
      <c r="D1606" s="22" t="n"/>
      <c r="E1606" s="22">
        <f>IFERROR(+VLOOKUP(C1606,Master!B:C,2,0),"")</f>
        <v/>
      </c>
      <c r="F1606" s="23">
        <f>LOOKUP(2,1/((Purchase!$D$1:$D$500=C1606)*(Purchase!$A$1:$A$500&lt;=A1606)),Purchase!$G$1:$G$500)</f>
        <v/>
      </c>
      <c r="G1606" s="23">
        <f>+D1606*F1606</f>
        <v/>
      </c>
    </row>
    <row r="1607">
      <c r="A1607" s="8" t="n"/>
      <c r="B1607" s="8" t="n"/>
      <c r="C1607" s="21" t="n"/>
      <c r="D1607" s="22" t="n"/>
      <c r="E1607" s="22">
        <f>IFERROR(+VLOOKUP(C1607,Master!B:C,2,0),"")</f>
        <v/>
      </c>
      <c r="F1607" s="23">
        <f>LOOKUP(2,1/((Purchase!$D$1:$D$500=C1607)*(Purchase!$A$1:$A$500&lt;=A1607)),Purchase!$G$1:$G$500)</f>
        <v/>
      </c>
      <c r="G1607" s="23">
        <f>+D1607*F1607</f>
        <v/>
      </c>
    </row>
    <row r="1608">
      <c r="A1608" s="8" t="n"/>
      <c r="B1608" s="8" t="n"/>
      <c r="C1608" s="21" t="n"/>
      <c r="D1608" s="22" t="n"/>
      <c r="E1608" s="22">
        <f>IFERROR(+VLOOKUP(C1608,Master!B:C,2,0),"")</f>
        <v/>
      </c>
      <c r="F1608" s="23">
        <f>LOOKUP(2,1/((Purchase!$D$1:$D$500=C1608)*(Purchase!$A$1:$A$500&lt;=A1608)),Purchase!$G$1:$G$500)</f>
        <v/>
      </c>
      <c r="G1608" s="23">
        <f>+D1608*F1608</f>
        <v/>
      </c>
    </row>
    <row r="1609">
      <c r="A1609" s="8" t="n"/>
      <c r="B1609" s="8" t="n"/>
      <c r="C1609" s="21" t="n"/>
      <c r="D1609" s="22" t="n"/>
      <c r="E1609" s="22">
        <f>IFERROR(+VLOOKUP(C1609,Master!B:C,2,0),"")</f>
        <v/>
      </c>
      <c r="F1609" s="23">
        <f>LOOKUP(2,1/((Purchase!$D$1:$D$500=C1609)*(Purchase!$A$1:$A$500&lt;=A1609)),Purchase!$G$1:$G$500)</f>
        <v/>
      </c>
      <c r="G1609" s="23">
        <f>+D1609*F1609</f>
        <v/>
      </c>
    </row>
    <row r="1610">
      <c r="A1610" s="8" t="n"/>
      <c r="B1610" s="8" t="n"/>
      <c r="C1610" s="21" t="n"/>
      <c r="D1610" s="22" t="n"/>
      <c r="E1610" s="22">
        <f>IFERROR(+VLOOKUP(C1610,Master!B:C,2,0),"")</f>
        <v/>
      </c>
      <c r="F1610" s="23">
        <f>LOOKUP(2,1/((Purchase!$D$1:$D$500=C1610)*(Purchase!$A$1:$A$500&lt;=A1610)),Purchase!$G$1:$G$500)</f>
        <v/>
      </c>
      <c r="G1610" s="23">
        <f>+D1610*F1610</f>
        <v/>
      </c>
    </row>
    <row r="1611">
      <c r="A1611" s="8" t="n"/>
      <c r="B1611" s="8" t="n"/>
      <c r="C1611" s="21" t="n"/>
      <c r="D1611" s="22" t="n"/>
      <c r="E1611" s="22">
        <f>IFERROR(+VLOOKUP(C1611,Master!B:C,2,0),"")</f>
        <v/>
      </c>
      <c r="F1611" s="23">
        <f>LOOKUP(2,1/((Purchase!$D$1:$D$500=C1611)*(Purchase!$A$1:$A$500&lt;=A1611)),Purchase!$G$1:$G$500)</f>
        <v/>
      </c>
      <c r="G1611" s="23">
        <f>+D1611*F1611</f>
        <v/>
      </c>
    </row>
    <row r="1612">
      <c r="A1612" s="8" t="n"/>
      <c r="B1612" s="8" t="n"/>
      <c r="C1612" s="21" t="n"/>
      <c r="D1612" s="22" t="n"/>
      <c r="E1612" s="22">
        <f>IFERROR(+VLOOKUP(C1612,Master!B:C,2,0),"")</f>
        <v/>
      </c>
      <c r="F1612" s="23">
        <f>LOOKUP(2,1/((Purchase!$D$1:$D$500=C1612)*(Purchase!$A$1:$A$500&lt;=A1612)),Purchase!$G$1:$G$500)</f>
        <v/>
      </c>
      <c r="G1612" s="23">
        <f>+D1612*F1612</f>
        <v/>
      </c>
    </row>
    <row r="1613">
      <c r="A1613" s="8" t="n"/>
      <c r="B1613" s="8" t="n"/>
      <c r="C1613" s="21" t="n"/>
      <c r="D1613" s="22" t="n"/>
      <c r="E1613" s="22">
        <f>IFERROR(+VLOOKUP(C1613,Master!B:C,2,0),"")</f>
        <v/>
      </c>
      <c r="F1613" s="23">
        <f>LOOKUP(2,1/((Purchase!$D$1:$D$500=C1613)*(Purchase!$A$1:$A$500&lt;=A1613)),Purchase!$G$1:$G$500)</f>
        <v/>
      </c>
      <c r="G1613" s="23">
        <f>+D1613*F1613</f>
        <v/>
      </c>
    </row>
    <row r="1614">
      <c r="A1614" s="8" t="n"/>
      <c r="B1614" s="8" t="n"/>
      <c r="C1614" s="21" t="n"/>
      <c r="D1614" s="22" t="n"/>
      <c r="E1614" s="22">
        <f>IFERROR(+VLOOKUP(C1614,Master!B:C,2,0),"")</f>
        <v/>
      </c>
      <c r="F1614" s="23">
        <f>LOOKUP(2,1/((Purchase!$D$1:$D$500=C1614)*(Purchase!$A$1:$A$500&lt;=A1614)),Purchase!$G$1:$G$500)</f>
        <v/>
      </c>
      <c r="G1614" s="23">
        <f>+D1614*F1614</f>
        <v/>
      </c>
    </row>
    <row r="1615">
      <c r="A1615" s="8" t="n"/>
      <c r="B1615" s="8" t="n"/>
      <c r="C1615" s="21" t="n"/>
      <c r="D1615" s="22" t="n"/>
      <c r="E1615" s="22">
        <f>IFERROR(+VLOOKUP(C1615,Master!B:C,2,0),"")</f>
        <v/>
      </c>
      <c r="F1615" s="23">
        <f>LOOKUP(2,1/((Purchase!$D$1:$D$500=C1615)*(Purchase!$A$1:$A$500&lt;=A1615)),Purchase!$G$1:$G$500)</f>
        <v/>
      </c>
      <c r="G1615" s="23">
        <f>+D1615*F1615</f>
        <v/>
      </c>
    </row>
    <row r="1616">
      <c r="A1616" s="8" t="n"/>
      <c r="B1616" s="8" t="n"/>
      <c r="C1616" s="21" t="n"/>
      <c r="D1616" s="22" t="n"/>
      <c r="E1616" s="22">
        <f>IFERROR(+VLOOKUP(C1616,Master!B:C,2,0),"")</f>
        <v/>
      </c>
      <c r="F1616" s="23">
        <f>LOOKUP(2,1/((Purchase!$D$1:$D$500=C1616)*(Purchase!$A$1:$A$500&lt;=A1616)),Purchase!$G$1:$G$500)</f>
        <v/>
      </c>
      <c r="G1616" s="23">
        <f>+D1616*F1616</f>
        <v/>
      </c>
    </row>
    <row r="1617">
      <c r="A1617" s="8" t="n"/>
      <c r="B1617" s="8" t="n"/>
      <c r="C1617" s="21" t="n"/>
      <c r="D1617" s="22" t="n"/>
      <c r="E1617" s="22">
        <f>IFERROR(+VLOOKUP(C1617,Master!B:C,2,0),"")</f>
        <v/>
      </c>
      <c r="F1617" s="23">
        <f>LOOKUP(2,1/((Purchase!$D$1:$D$500=C1617)*(Purchase!$A$1:$A$500&lt;=A1617)),Purchase!$G$1:$G$500)</f>
        <v/>
      </c>
      <c r="G1617" s="23">
        <f>+D1617*F1617</f>
        <v/>
      </c>
    </row>
    <row r="1618">
      <c r="A1618" s="8" t="n"/>
      <c r="B1618" s="8" t="n"/>
      <c r="C1618" s="21" t="n"/>
      <c r="D1618" s="22" t="n"/>
      <c r="E1618" s="22">
        <f>IFERROR(+VLOOKUP(C1618,Master!B:C,2,0),"")</f>
        <v/>
      </c>
      <c r="F1618" s="23">
        <f>LOOKUP(2,1/((Purchase!$D$1:$D$500=C1618)*(Purchase!$A$1:$A$500&lt;=A1618)),Purchase!$G$1:$G$500)</f>
        <v/>
      </c>
      <c r="G1618" s="23">
        <f>+D1618*F1618</f>
        <v/>
      </c>
    </row>
    <row r="1619">
      <c r="A1619" s="8" t="n"/>
      <c r="B1619" s="8" t="n"/>
      <c r="C1619" s="21" t="n"/>
      <c r="D1619" s="22" t="n"/>
      <c r="E1619" s="22">
        <f>IFERROR(+VLOOKUP(C1619,Master!B:C,2,0),"")</f>
        <v/>
      </c>
      <c r="F1619" s="23">
        <f>LOOKUP(2,1/((Purchase!$D$1:$D$500=C1619)*(Purchase!$A$1:$A$500&lt;=A1619)),Purchase!$G$1:$G$500)</f>
        <v/>
      </c>
      <c r="G1619" s="23">
        <f>+D1619*F1619</f>
        <v/>
      </c>
    </row>
    <row r="1620">
      <c r="A1620" s="8" t="n"/>
      <c r="B1620" s="8" t="n"/>
      <c r="C1620" s="21" t="n"/>
      <c r="D1620" s="22" t="n"/>
      <c r="E1620" s="22">
        <f>IFERROR(+VLOOKUP(C1620,Master!B:C,2,0),"")</f>
        <v/>
      </c>
      <c r="F1620" s="23">
        <f>LOOKUP(2,1/((Purchase!$D$1:$D$500=C1620)*(Purchase!$A$1:$A$500&lt;=A1620)),Purchase!$G$1:$G$500)</f>
        <v/>
      </c>
      <c r="G1620" s="23">
        <f>+D1620*F1620</f>
        <v/>
      </c>
    </row>
    <row r="1621">
      <c r="A1621" s="8" t="n"/>
      <c r="B1621" s="8" t="n"/>
      <c r="C1621" s="21" t="n"/>
      <c r="D1621" s="22" t="n"/>
      <c r="E1621" s="22">
        <f>IFERROR(+VLOOKUP(C1621,Master!B:C,2,0),"")</f>
        <v/>
      </c>
      <c r="F1621" s="23">
        <f>LOOKUP(2,1/((Purchase!$D$1:$D$500=C1621)*(Purchase!$A$1:$A$500&lt;=A1621)),Purchase!$G$1:$G$500)</f>
        <v/>
      </c>
      <c r="G1621" s="23">
        <f>+D1621*F1621</f>
        <v/>
      </c>
    </row>
    <row r="1622">
      <c r="A1622" s="8" t="n"/>
      <c r="B1622" s="8" t="n"/>
      <c r="C1622" s="21" t="n"/>
      <c r="D1622" s="22" t="n"/>
      <c r="E1622" s="22">
        <f>IFERROR(+VLOOKUP(C1622,Master!B:C,2,0),"")</f>
        <v/>
      </c>
      <c r="F1622" s="23">
        <f>LOOKUP(2,1/((Purchase!$D$1:$D$500=C1622)*(Purchase!$A$1:$A$500&lt;=A1622)),Purchase!$G$1:$G$500)</f>
        <v/>
      </c>
      <c r="G1622" s="23">
        <f>+D1622*F1622</f>
        <v/>
      </c>
    </row>
    <row r="1623">
      <c r="A1623" s="8" t="n"/>
      <c r="B1623" s="8" t="n"/>
      <c r="C1623" s="21" t="n"/>
      <c r="D1623" s="22" t="n"/>
      <c r="E1623" s="22">
        <f>IFERROR(+VLOOKUP(C1623,Master!B:C,2,0),"")</f>
        <v/>
      </c>
      <c r="F1623" s="23">
        <f>LOOKUP(2,1/((Purchase!$D$1:$D$500=C1623)*(Purchase!$A$1:$A$500&lt;=A1623)),Purchase!$G$1:$G$500)</f>
        <v/>
      </c>
      <c r="G1623" s="23">
        <f>+D1623*F1623</f>
        <v/>
      </c>
    </row>
    <row r="1624">
      <c r="A1624" s="8" t="n"/>
      <c r="B1624" s="8" t="n"/>
      <c r="C1624" s="21" t="n"/>
      <c r="D1624" s="22" t="n"/>
      <c r="E1624" s="22">
        <f>IFERROR(+VLOOKUP(C1624,Master!B:C,2,0),"")</f>
        <v/>
      </c>
      <c r="F1624" s="23">
        <f>LOOKUP(2,1/((Purchase!$D$1:$D$500=C1624)*(Purchase!$A$1:$A$500&lt;=A1624)),Purchase!$G$1:$G$500)</f>
        <v/>
      </c>
      <c r="G1624" s="23">
        <f>+D1624*F1624</f>
        <v/>
      </c>
    </row>
    <row r="1625">
      <c r="A1625" s="8" t="n"/>
      <c r="B1625" s="8" t="n"/>
      <c r="C1625" s="21" t="n"/>
      <c r="D1625" s="22" t="n"/>
      <c r="E1625" s="22">
        <f>IFERROR(+VLOOKUP(C1625,Master!B:C,2,0),"")</f>
        <v/>
      </c>
      <c r="F1625" s="23">
        <f>LOOKUP(2,1/((Purchase!$D$1:$D$500=C1625)*(Purchase!$A$1:$A$500&lt;=A1625)),Purchase!$G$1:$G$500)</f>
        <v/>
      </c>
      <c r="G1625" s="23">
        <f>+D1625*F1625</f>
        <v/>
      </c>
    </row>
    <row r="1626">
      <c r="A1626" s="8" t="n"/>
      <c r="B1626" s="8" t="n"/>
      <c r="C1626" s="21" t="n"/>
      <c r="D1626" s="22" t="n"/>
      <c r="E1626" s="22">
        <f>IFERROR(+VLOOKUP(C1626,Master!B:C,2,0),"")</f>
        <v/>
      </c>
      <c r="F1626" s="23">
        <f>LOOKUP(2,1/((Purchase!$D$1:$D$500=C1626)*(Purchase!$A$1:$A$500&lt;=A1626)),Purchase!$G$1:$G$500)</f>
        <v/>
      </c>
      <c r="G1626" s="23">
        <f>+D1626*F1626</f>
        <v/>
      </c>
    </row>
    <row r="1627">
      <c r="A1627" s="8" t="n"/>
      <c r="B1627" s="8" t="n"/>
      <c r="C1627" s="21" t="n"/>
      <c r="D1627" s="22" t="n"/>
      <c r="E1627" s="22">
        <f>IFERROR(+VLOOKUP(C1627,Master!B:C,2,0),"")</f>
        <v/>
      </c>
      <c r="F1627" s="23">
        <f>LOOKUP(2,1/((Purchase!$D$1:$D$500=C1627)*(Purchase!$A$1:$A$500&lt;=A1627)),Purchase!$G$1:$G$500)</f>
        <v/>
      </c>
      <c r="G1627" s="23">
        <f>+D1627*F1627</f>
        <v/>
      </c>
    </row>
    <row r="1628">
      <c r="A1628" s="8" t="n"/>
      <c r="B1628" s="8" t="n"/>
      <c r="C1628" s="21" t="n"/>
      <c r="D1628" s="22" t="n"/>
      <c r="E1628" s="22">
        <f>IFERROR(+VLOOKUP(C1628,Master!B:C,2,0),"")</f>
        <v/>
      </c>
      <c r="F1628" s="23">
        <f>LOOKUP(2,1/((Purchase!$D$1:$D$500=C1628)*(Purchase!$A$1:$A$500&lt;=A1628)),Purchase!$G$1:$G$500)</f>
        <v/>
      </c>
      <c r="G1628" s="23">
        <f>+D1628*F1628</f>
        <v/>
      </c>
    </row>
    <row r="1629">
      <c r="A1629" s="8" t="n"/>
      <c r="B1629" s="8" t="n"/>
      <c r="C1629" s="21" t="n"/>
      <c r="D1629" s="22" t="n"/>
      <c r="E1629" s="22">
        <f>IFERROR(+VLOOKUP(C1629,Master!B:C,2,0),"")</f>
        <v/>
      </c>
      <c r="F1629" s="23">
        <f>LOOKUP(2,1/((Purchase!$D$1:$D$500=C1629)*(Purchase!$A$1:$A$500&lt;=A1629)),Purchase!$G$1:$G$500)</f>
        <v/>
      </c>
      <c r="G1629" s="23">
        <f>+D1629*F1629</f>
        <v/>
      </c>
    </row>
    <row r="1630">
      <c r="A1630" s="8" t="n"/>
      <c r="B1630" s="8" t="n"/>
      <c r="C1630" s="21" t="n"/>
      <c r="D1630" s="22" t="n"/>
      <c r="E1630" s="22">
        <f>IFERROR(+VLOOKUP(C1630,Master!B:C,2,0),"")</f>
        <v/>
      </c>
      <c r="F1630" s="23">
        <f>LOOKUP(2,1/((Purchase!$D$1:$D$500=C1630)*(Purchase!$A$1:$A$500&lt;=A1630)),Purchase!$G$1:$G$500)</f>
        <v/>
      </c>
      <c r="G1630" s="23">
        <f>+D1630*F1630</f>
        <v/>
      </c>
    </row>
    <row r="1631">
      <c r="A1631" s="8" t="n"/>
      <c r="B1631" s="8" t="n"/>
      <c r="C1631" s="21" t="n"/>
      <c r="D1631" s="22" t="n"/>
      <c r="E1631" s="22">
        <f>IFERROR(+VLOOKUP(C1631,Master!B:C,2,0),"")</f>
        <v/>
      </c>
      <c r="F1631" s="23">
        <f>LOOKUP(2,1/((Purchase!$D$1:$D$500=C1631)*(Purchase!$A$1:$A$500&lt;=A1631)),Purchase!$G$1:$G$500)</f>
        <v/>
      </c>
      <c r="G1631" s="23">
        <f>+D1631*F1631</f>
        <v/>
      </c>
    </row>
    <row r="1632">
      <c r="A1632" s="8" t="n"/>
      <c r="B1632" s="8" t="n"/>
      <c r="C1632" s="21" t="n"/>
      <c r="D1632" s="22" t="n"/>
      <c r="E1632" s="22">
        <f>IFERROR(+VLOOKUP(C1632,Master!B:C,2,0),"")</f>
        <v/>
      </c>
      <c r="F1632" s="23">
        <f>LOOKUP(2,1/((Purchase!$D$1:$D$500=C1632)*(Purchase!$A$1:$A$500&lt;=A1632)),Purchase!$G$1:$G$500)</f>
        <v/>
      </c>
      <c r="G1632" s="23">
        <f>+D1632*F1632</f>
        <v/>
      </c>
    </row>
    <row r="1633">
      <c r="A1633" s="8" t="n"/>
      <c r="B1633" s="8" t="n"/>
      <c r="C1633" s="21" t="n"/>
      <c r="D1633" s="22" t="n"/>
      <c r="E1633" s="22">
        <f>IFERROR(+VLOOKUP(C1633,Master!B:C,2,0),"")</f>
        <v/>
      </c>
      <c r="F1633" s="23">
        <f>LOOKUP(2,1/((Purchase!$D$1:$D$500=C1633)*(Purchase!$A$1:$A$500&lt;=A1633)),Purchase!$G$1:$G$500)</f>
        <v/>
      </c>
      <c r="G1633" s="23">
        <f>+D1633*F1633</f>
        <v/>
      </c>
    </row>
    <row r="1634">
      <c r="A1634" s="8" t="n"/>
      <c r="B1634" s="8" t="n"/>
      <c r="C1634" s="21" t="n"/>
      <c r="D1634" s="22" t="n"/>
      <c r="E1634" s="22">
        <f>IFERROR(+VLOOKUP(C1634,Master!B:C,2,0),"")</f>
        <v/>
      </c>
      <c r="F1634" s="23">
        <f>LOOKUP(2,1/((Purchase!$D$1:$D$500=C1634)*(Purchase!$A$1:$A$500&lt;=A1634)),Purchase!$G$1:$G$500)</f>
        <v/>
      </c>
      <c r="G1634" s="23">
        <f>+D1634*F1634</f>
        <v/>
      </c>
    </row>
    <row r="1635">
      <c r="A1635" s="8" t="n"/>
      <c r="B1635" s="8" t="n"/>
      <c r="C1635" s="21" t="n"/>
      <c r="D1635" s="22" t="n"/>
      <c r="E1635" s="22">
        <f>IFERROR(+VLOOKUP(C1635,Master!B:C,2,0),"")</f>
        <v/>
      </c>
      <c r="F1635" s="23">
        <f>LOOKUP(2,1/((Purchase!$D$1:$D$500=C1635)*(Purchase!$A$1:$A$500&lt;=A1635)),Purchase!$G$1:$G$500)</f>
        <v/>
      </c>
      <c r="G1635" s="23">
        <f>+D1635*F1635</f>
        <v/>
      </c>
    </row>
    <row r="1636">
      <c r="A1636" s="8" t="n"/>
      <c r="B1636" s="8" t="n"/>
      <c r="C1636" s="21" t="n"/>
      <c r="D1636" s="22" t="n"/>
      <c r="E1636" s="22">
        <f>IFERROR(+VLOOKUP(C1636,Master!B:C,2,0),"")</f>
        <v/>
      </c>
      <c r="F1636" s="23">
        <f>LOOKUP(2,1/((Purchase!$D$1:$D$500=C1636)*(Purchase!$A$1:$A$500&lt;=A1636)),Purchase!$G$1:$G$500)</f>
        <v/>
      </c>
      <c r="G1636" s="23">
        <f>+D1636*F1636</f>
        <v/>
      </c>
    </row>
    <row r="1637">
      <c r="A1637" s="8" t="n"/>
      <c r="B1637" s="8" t="n"/>
      <c r="C1637" s="21" t="n"/>
      <c r="D1637" s="22" t="n"/>
      <c r="E1637" s="22">
        <f>IFERROR(+VLOOKUP(C1637,Master!B:C,2,0),"")</f>
        <v/>
      </c>
      <c r="F1637" s="23">
        <f>LOOKUP(2,1/((Purchase!$D$1:$D$500=C1637)*(Purchase!$A$1:$A$500&lt;=A1637)),Purchase!$G$1:$G$500)</f>
        <v/>
      </c>
      <c r="G1637" s="23">
        <f>+D1637*F1637</f>
        <v/>
      </c>
    </row>
    <row r="1638">
      <c r="A1638" s="8" t="n"/>
      <c r="B1638" s="8" t="n"/>
      <c r="C1638" s="21" t="n"/>
      <c r="D1638" s="22" t="n"/>
      <c r="E1638" s="22">
        <f>IFERROR(+VLOOKUP(C1638,Master!B:C,2,0),"")</f>
        <v/>
      </c>
      <c r="F1638" s="23">
        <f>LOOKUP(2,1/((Purchase!$D$1:$D$500=C1638)*(Purchase!$A$1:$A$500&lt;=A1638)),Purchase!$G$1:$G$500)</f>
        <v/>
      </c>
      <c r="G1638" s="23">
        <f>+D1638*F1638</f>
        <v/>
      </c>
    </row>
    <row r="1639">
      <c r="A1639" s="8" t="n"/>
      <c r="B1639" s="8" t="n"/>
      <c r="C1639" s="21" t="n"/>
      <c r="D1639" s="22" t="n"/>
      <c r="E1639" s="22">
        <f>IFERROR(+VLOOKUP(C1639,Master!B:C,2,0),"")</f>
        <v/>
      </c>
      <c r="F1639" s="23">
        <f>LOOKUP(2,1/((Purchase!$D$1:$D$500=C1639)*(Purchase!$A$1:$A$500&lt;=A1639)),Purchase!$G$1:$G$500)</f>
        <v/>
      </c>
      <c r="G1639" s="23">
        <f>+D1639*F1639</f>
        <v/>
      </c>
    </row>
    <row r="1640">
      <c r="A1640" s="8" t="n"/>
      <c r="B1640" s="8" t="n"/>
      <c r="C1640" s="21" t="n"/>
      <c r="D1640" s="22" t="n"/>
      <c r="E1640" s="22">
        <f>IFERROR(+VLOOKUP(C1640,Master!B:C,2,0),"")</f>
        <v/>
      </c>
      <c r="F1640" s="23">
        <f>LOOKUP(2,1/((Purchase!$D$1:$D$500=C1640)*(Purchase!$A$1:$A$500&lt;=A1640)),Purchase!$G$1:$G$500)</f>
        <v/>
      </c>
      <c r="G1640" s="23">
        <f>+D1640*F1640</f>
        <v/>
      </c>
    </row>
    <row r="1641">
      <c r="A1641" s="8" t="n"/>
      <c r="B1641" s="8" t="n"/>
      <c r="C1641" s="21" t="n"/>
      <c r="D1641" s="22" t="n"/>
      <c r="E1641" s="22">
        <f>IFERROR(+VLOOKUP(C1641,Master!B:C,2,0),"")</f>
        <v/>
      </c>
      <c r="F1641" s="23">
        <f>LOOKUP(2,1/((Purchase!$D$1:$D$500=C1641)*(Purchase!$A$1:$A$500&lt;=A1641)),Purchase!$G$1:$G$500)</f>
        <v/>
      </c>
      <c r="G1641" s="23">
        <f>+D1641*F1641</f>
        <v/>
      </c>
    </row>
    <row r="1642">
      <c r="A1642" s="8" t="n"/>
      <c r="B1642" s="8" t="n"/>
      <c r="C1642" s="21" t="n"/>
      <c r="D1642" s="22" t="n"/>
      <c r="E1642" s="22">
        <f>IFERROR(+VLOOKUP(C1642,Master!B:C,2,0),"")</f>
        <v/>
      </c>
      <c r="F1642" s="23">
        <f>LOOKUP(2,1/((Purchase!$D$1:$D$500=C1642)*(Purchase!$A$1:$A$500&lt;=A1642)),Purchase!$G$1:$G$500)</f>
        <v/>
      </c>
      <c r="G1642" s="23">
        <f>+D1642*F1642</f>
        <v/>
      </c>
    </row>
    <row r="1643">
      <c r="A1643" s="8" t="n"/>
      <c r="B1643" s="8" t="n"/>
      <c r="C1643" s="21" t="n"/>
      <c r="D1643" s="22" t="n"/>
      <c r="E1643" s="22">
        <f>IFERROR(+VLOOKUP(C1643,Master!B:C,2,0),"")</f>
        <v/>
      </c>
      <c r="F1643" s="23">
        <f>LOOKUP(2,1/((Purchase!$D$1:$D$500=C1643)*(Purchase!$A$1:$A$500&lt;=A1643)),Purchase!$G$1:$G$500)</f>
        <v/>
      </c>
      <c r="G1643" s="23">
        <f>+D1643*F1643</f>
        <v/>
      </c>
    </row>
    <row r="1644">
      <c r="A1644" s="8" t="n"/>
      <c r="B1644" s="8" t="n"/>
      <c r="C1644" s="21" t="n"/>
      <c r="D1644" s="22" t="n"/>
      <c r="E1644" s="22">
        <f>IFERROR(+VLOOKUP(C1644,Master!B:C,2,0),"")</f>
        <v/>
      </c>
      <c r="F1644" s="23">
        <f>LOOKUP(2,1/((Purchase!$D$1:$D$500=C1644)*(Purchase!$A$1:$A$500&lt;=A1644)),Purchase!$G$1:$G$500)</f>
        <v/>
      </c>
      <c r="G1644" s="23">
        <f>+D1644*F1644</f>
        <v/>
      </c>
    </row>
    <row r="1645">
      <c r="A1645" s="8" t="n"/>
      <c r="B1645" s="8" t="n"/>
      <c r="C1645" s="21" t="n"/>
      <c r="D1645" s="22" t="n"/>
      <c r="E1645" s="22">
        <f>IFERROR(+VLOOKUP(C1645,Master!B:C,2,0),"")</f>
        <v/>
      </c>
      <c r="F1645" s="23">
        <f>LOOKUP(2,1/((Purchase!$D$1:$D$500=C1645)*(Purchase!$A$1:$A$500&lt;=A1645)),Purchase!$G$1:$G$500)</f>
        <v/>
      </c>
      <c r="G1645" s="23">
        <f>+D1645*F1645</f>
        <v/>
      </c>
    </row>
    <row r="1646">
      <c r="A1646" s="8" t="n"/>
      <c r="B1646" s="8" t="n"/>
      <c r="C1646" s="21" t="n"/>
      <c r="D1646" s="22" t="n"/>
      <c r="E1646" s="22">
        <f>IFERROR(+VLOOKUP(C1646,Master!B:C,2,0),"")</f>
        <v/>
      </c>
      <c r="F1646" s="23">
        <f>LOOKUP(2,1/((Purchase!$D$1:$D$500=C1646)*(Purchase!$A$1:$A$500&lt;=A1646)),Purchase!$G$1:$G$500)</f>
        <v/>
      </c>
      <c r="G1646" s="23">
        <f>+D1646*F1646</f>
        <v/>
      </c>
    </row>
    <row r="1647">
      <c r="A1647" s="8" t="n"/>
      <c r="B1647" s="8" t="n"/>
      <c r="C1647" s="21" t="n"/>
      <c r="D1647" s="22" t="n"/>
      <c r="E1647" s="22">
        <f>IFERROR(+VLOOKUP(C1647,Master!B:C,2,0),"")</f>
        <v/>
      </c>
      <c r="F1647" s="23">
        <f>LOOKUP(2,1/((Purchase!$D$1:$D$500=C1647)*(Purchase!$A$1:$A$500&lt;=A1647)),Purchase!$G$1:$G$500)</f>
        <v/>
      </c>
      <c r="G1647" s="23">
        <f>+D1647*F1647</f>
        <v/>
      </c>
    </row>
    <row r="1648">
      <c r="A1648" s="8" t="n"/>
      <c r="B1648" s="8" t="n"/>
      <c r="C1648" s="21" t="n"/>
      <c r="D1648" s="22" t="n"/>
      <c r="E1648" s="22">
        <f>IFERROR(+VLOOKUP(C1648,Master!B:C,2,0),"")</f>
        <v/>
      </c>
      <c r="F1648" s="23">
        <f>LOOKUP(2,1/((Purchase!$D$1:$D$500=C1648)*(Purchase!$A$1:$A$500&lt;=A1648)),Purchase!$G$1:$G$500)</f>
        <v/>
      </c>
      <c r="G1648" s="23">
        <f>+D1648*F1648</f>
        <v/>
      </c>
    </row>
    <row r="1649">
      <c r="A1649" s="8" t="n"/>
      <c r="B1649" s="8" t="n"/>
      <c r="C1649" s="21" t="n"/>
      <c r="D1649" s="22" t="n"/>
      <c r="E1649" s="22">
        <f>IFERROR(+VLOOKUP(C1649,Master!B:C,2,0),"")</f>
        <v/>
      </c>
      <c r="F1649" s="23">
        <f>LOOKUP(2,1/((Purchase!$D$1:$D$500=C1649)*(Purchase!$A$1:$A$500&lt;=A1649)),Purchase!$G$1:$G$500)</f>
        <v/>
      </c>
      <c r="G1649" s="23">
        <f>+D1649*F1649</f>
        <v/>
      </c>
    </row>
    <row r="1650">
      <c r="A1650" s="8" t="n"/>
      <c r="B1650" s="8" t="n"/>
      <c r="C1650" s="21" t="n"/>
      <c r="D1650" s="22" t="n"/>
      <c r="E1650" s="22">
        <f>IFERROR(+VLOOKUP(C1650,Master!B:C,2,0),"")</f>
        <v/>
      </c>
      <c r="F1650" s="23">
        <f>LOOKUP(2,1/((Purchase!$D$1:$D$500=C1650)*(Purchase!$A$1:$A$500&lt;=A1650)),Purchase!$G$1:$G$500)</f>
        <v/>
      </c>
      <c r="G1650" s="23">
        <f>+D1650*F1650</f>
        <v/>
      </c>
    </row>
    <row r="1651">
      <c r="A1651" s="8" t="n"/>
      <c r="B1651" s="8" t="n"/>
      <c r="C1651" s="21" t="n"/>
      <c r="D1651" s="22" t="n"/>
      <c r="E1651" s="22">
        <f>IFERROR(+VLOOKUP(C1651,Master!B:C,2,0),"")</f>
        <v/>
      </c>
      <c r="F1651" s="23">
        <f>LOOKUP(2,1/((Purchase!$D$1:$D$500=C1651)*(Purchase!$A$1:$A$500&lt;=A1651)),Purchase!$G$1:$G$500)</f>
        <v/>
      </c>
      <c r="G1651" s="23">
        <f>+D1651*F1651</f>
        <v/>
      </c>
    </row>
    <row r="1652">
      <c r="A1652" s="8" t="n"/>
      <c r="B1652" s="8" t="n"/>
      <c r="C1652" s="21" t="n"/>
      <c r="D1652" s="22" t="n"/>
      <c r="E1652" s="22">
        <f>IFERROR(+VLOOKUP(C1652,Master!B:C,2,0),"")</f>
        <v/>
      </c>
      <c r="F1652" s="23">
        <f>LOOKUP(2,1/((Purchase!$D$1:$D$500=C1652)*(Purchase!$A$1:$A$500&lt;=A1652)),Purchase!$G$1:$G$500)</f>
        <v/>
      </c>
      <c r="G1652" s="23">
        <f>+D1652*F1652</f>
        <v/>
      </c>
    </row>
    <row r="1653">
      <c r="A1653" s="8" t="n"/>
      <c r="B1653" s="8" t="n"/>
      <c r="C1653" s="21" t="n"/>
      <c r="D1653" s="22" t="n"/>
      <c r="E1653" s="22">
        <f>IFERROR(+VLOOKUP(C1653,Master!B:C,2,0),"")</f>
        <v/>
      </c>
      <c r="F1653" s="23">
        <f>LOOKUP(2,1/((Purchase!$D$1:$D$500=C1653)*(Purchase!$A$1:$A$500&lt;=A1653)),Purchase!$G$1:$G$500)</f>
        <v/>
      </c>
      <c r="G1653" s="23">
        <f>+D1653*F1653</f>
        <v/>
      </c>
    </row>
    <row r="1654">
      <c r="A1654" s="8" t="n"/>
      <c r="B1654" s="8" t="n"/>
      <c r="C1654" s="21" t="n"/>
      <c r="D1654" s="22" t="n"/>
      <c r="E1654" s="22">
        <f>IFERROR(+VLOOKUP(C1654,Master!B:C,2,0),"")</f>
        <v/>
      </c>
      <c r="F1654" s="23">
        <f>LOOKUP(2,1/((Purchase!$D$1:$D$500=C1654)*(Purchase!$A$1:$A$500&lt;=A1654)),Purchase!$G$1:$G$500)</f>
        <v/>
      </c>
      <c r="G1654" s="23">
        <f>+D1654*F1654</f>
        <v/>
      </c>
    </row>
    <row r="1655">
      <c r="A1655" s="8" t="n"/>
      <c r="B1655" s="8" t="n"/>
      <c r="C1655" s="21" t="n"/>
      <c r="D1655" s="22" t="n"/>
      <c r="E1655" s="22">
        <f>IFERROR(+VLOOKUP(C1655,Master!B:C,2,0),"")</f>
        <v/>
      </c>
      <c r="F1655" s="23">
        <f>LOOKUP(2,1/((Purchase!$D$1:$D$500=C1655)*(Purchase!$A$1:$A$500&lt;=A1655)),Purchase!$G$1:$G$500)</f>
        <v/>
      </c>
      <c r="G1655" s="23">
        <f>+D1655*F1655</f>
        <v/>
      </c>
    </row>
    <row r="1656">
      <c r="A1656" s="8" t="n"/>
      <c r="B1656" s="8" t="n"/>
      <c r="C1656" s="21" t="n"/>
      <c r="D1656" s="22" t="n"/>
      <c r="E1656" s="22">
        <f>IFERROR(+VLOOKUP(C1656,Master!B:C,2,0),"")</f>
        <v/>
      </c>
      <c r="F1656" s="23">
        <f>LOOKUP(2,1/((Purchase!$D$1:$D$500=C1656)*(Purchase!$A$1:$A$500&lt;=A1656)),Purchase!$G$1:$G$500)</f>
        <v/>
      </c>
      <c r="G1656" s="23">
        <f>+D1656*F1656</f>
        <v/>
      </c>
    </row>
    <row r="1657">
      <c r="A1657" s="8" t="n"/>
      <c r="B1657" s="8" t="n"/>
      <c r="C1657" s="21" t="n"/>
      <c r="D1657" s="22" t="n"/>
      <c r="E1657" s="22">
        <f>IFERROR(+VLOOKUP(C1657,Master!B:C,2,0),"")</f>
        <v/>
      </c>
      <c r="F1657" s="23">
        <f>LOOKUP(2,1/((Purchase!$D$1:$D$500=C1657)*(Purchase!$A$1:$A$500&lt;=A1657)),Purchase!$G$1:$G$500)</f>
        <v/>
      </c>
      <c r="G1657" s="23">
        <f>+D1657*F1657</f>
        <v/>
      </c>
    </row>
    <row r="1658">
      <c r="A1658" s="8" t="n"/>
      <c r="B1658" s="8" t="n"/>
      <c r="C1658" s="21" t="n"/>
      <c r="D1658" s="22" t="n"/>
      <c r="E1658" s="22">
        <f>IFERROR(+VLOOKUP(C1658,Master!B:C,2,0),"")</f>
        <v/>
      </c>
      <c r="F1658" s="23">
        <f>LOOKUP(2,1/((Purchase!$D$1:$D$500=C1658)*(Purchase!$A$1:$A$500&lt;=A1658)),Purchase!$G$1:$G$500)</f>
        <v/>
      </c>
      <c r="G1658" s="23">
        <f>+D1658*F1658</f>
        <v/>
      </c>
    </row>
    <row r="1659">
      <c r="A1659" s="8" t="n"/>
      <c r="B1659" s="8" t="n"/>
      <c r="C1659" s="21" t="n"/>
      <c r="D1659" s="22" t="n"/>
      <c r="E1659" s="22">
        <f>IFERROR(+VLOOKUP(C1659,Master!B:C,2,0),"")</f>
        <v/>
      </c>
      <c r="F1659" s="23">
        <f>LOOKUP(2,1/((Purchase!$D$1:$D$500=C1659)*(Purchase!$A$1:$A$500&lt;=A1659)),Purchase!$G$1:$G$500)</f>
        <v/>
      </c>
      <c r="G1659" s="23">
        <f>+D1659*F1659</f>
        <v/>
      </c>
    </row>
    <row r="1660">
      <c r="A1660" s="8" t="n"/>
      <c r="B1660" s="8" t="n"/>
      <c r="C1660" s="21" t="n"/>
      <c r="D1660" s="22" t="n"/>
      <c r="E1660" s="22">
        <f>IFERROR(+VLOOKUP(C1660,Master!B:C,2,0),"")</f>
        <v/>
      </c>
      <c r="F1660" s="23">
        <f>LOOKUP(2,1/((Purchase!$D$1:$D$500=C1660)*(Purchase!$A$1:$A$500&lt;=A1660)),Purchase!$G$1:$G$500)</f>
        <v/>
      </c>
      <c r="G1660" s="23">
        <f>+D1660*F1660</f>
        <v/>
      </c>
    </row>
    <row r="1661">
      <c r="A1661" s="8" t="n"/>
      <c r="B1661" s="8" t="n"/>
      <c r="C1661" s="21" t="n"/>
      <c r="D1661" s="22" t="n"/>
      <c r="E1661" s="22">
        <f>IFERROR(+VLOOKUP(C1661,Master!B:C,2,0),"")</f>
        <v/>
      </c>
      <c r="F1661" s="23">
        <f>LOOKUP(2,1/((Purchase!$D$1:$D$500=C1661)*(Purchase!$A$1:$A$500&lt;=A1661)),Purchase!$G$1:$G$500)</f>
        <v/>
      </c>
      <c r="G1661" s="23">
        <f>+D1661*F1661</f>
        <v/>
      </c>
    </row>
    <row r="1662">
      <c r="A1662" s="8" t="n"/>
      <c r="B1662" s="8" t="n"/>
      <c r="C1662" s="21" t="n"/>
      <c r="D1662" s="22" t="n"/>
      <c r="E1662" s="22">
        <f>IFERROR(+VLOOKUP(C1662,Master!B:C,2,0),"")</f>
        <v/>
      </c>
      <c r="F1662" s="23">
        <f>LOOKUP(2,1/((Purchase!$D$1:$D$500=C1662)*(Purchase!$A$1:$A$500&lt;=A1662)),Purchase!$G$1:$G$500)</f>
        <v/>
      </c>
      <c r="G1662" s="23">
        <f>+D1662*F1662</f>
        <v/>
      </c>
    </row>
    <row r="1663">
      <c r="A1663" s="8" t="n"/>
      <c r="B1663" s="8" t="n"/>
      <c r="C1663" s="21" t="n"/>
      <c r="D1663" s="22" t="n"/>
      <c r="E1663" s="22">
        <f>IFERROR(+VLOOKUP(C1663,Master!B:C,2,0),"")</f>
        <v/>
      </c>
      <c r="F1663" s="23">
        <f>LOOKUP(2,1/((Purchase!$D$1:$D$500=C1663)*(Purchase!$A$1:$A$500&lt;=A1663)),Purchase!$G$1:$G$500)</f>
        <v/>
      </c>
      <c r="G1663" s="23">
        <f>+D1663*F1663</f>
        <v/>
      </c>
    </row>
    <row r="1664">
      <c r="A1664" s="8" t="n"/>
      <c r="B1664" s="8" t="n"/>
      <c r="C1664" s="21" t="n"/>
      <c r="D1664" s="22" t="n"/>
      <c r="E1664" s="22">
        <f>IFERROR(+VLOOKUP(C1664,Master!B:C,2,0),"")</f>
        <v/>
      </c>
      <c r="F1664" s="23">
        <f>LOOKUP(2,1/((Purchase!$D$1:$D$500=C1664)*(Purchase!$A$1:$A$500&lt;=A1664)),Purchase!$G$1:$G$500)</f>
        <v/>
      </c>
      <c r="G1664" s="23">
        <f>+D1664*F1664</f>
        <v/>
      </c>
    </row>
    <row r="1665">
      <c r="A1665" s="8" t="n"/>
      <c r="B1665" s="8" t="n"/>
      <c r="C1665" s="21" t="n"/>
      <c r="D1665" s="22" t="n"/>
      <c r="E1665" s="22">
        <f>IFERROR(+VLOOKUP(C1665,Master!B:C,2,0),"")</f>
        <v/>
      </c>
      <c r="F1665" s="23">
        <f>LOOKUP(2,1/((Purchase!$D$1:$D$500=C1665)*(Purchase!$A$1:$A$500&lt;=A1665)),Purchase!$G$1:$G$500)</f>
        <v/>
      </c>
      <c r="G1665" s="23">
        <f>+D1665*F1665</f>
        <v/>
      </c>
    </row>
    <row r="1666">
      <c r="A1666" s="8" t="n"/>
      <c r="B1666" s="8" t="n"/>
      <c r="C1666" s="21" t="n"/>
      <c r="D1666" s="22" t="n"/>
      <c r="E1666" s="22">
        <f>IFERROR(+VLOOKUP(C1666,Master!B:C,2,0),"")</f>
        <v/>
      </c>
      <c r="F1666" s="23">
        <f>LOOKUP(2,1/((Purchase!$D$1:$D$500=C1666)*(Purchase!$A$1:$A$500&lt;=A1666)),Purchase!$G$1:$G$500)</f>
        <v/>
      </c>
      <c r="G1666" s="23">
        <f>+D1666*F1666</f>
        <v/>
      </c>
    </row>
    <row r="1667">
      <c r="A1667" s="8" t="n"/>
      <c r="B1667" s="8" t="n"/>
      <c r="C1667" s="21" t="n"/>
      <c r="D1667" s="22" t="n"/>
      <c r="E1667" s="22">
        <f>IFERROR(+VLOOKUP(C1667,Master!B:C,2,0),"")</f>
        <v/>
      </c>
      <c r="F1667" s="23">
        <f>LOOKUP(2,1/((Purchase!$D$1:$D$500=C1667)*(Purchase!$A$1:$A$500&lt;=A1667)),Purchase!$G$1:$G$500)</f>
        <v/>
      </c>
      <c r="G1667" s="23">
        <f>+D1667*F1667</f>
        <v/>
      </c>
    </row>
    <row r="1668">
      <c r="A1668" s="8" t="n"/>
      <c r="B1668" s="8" t="n"/>
      <c r="C1668" s="21" t="n"/>
      <c r="D1668" s="22" t="n"/>
      <c r="E1668" s="22">
        <f>IFERROR(+VLOOKUP(C1668,Master!B:C,2,0),"")</f>
        <v/>
      </c>
      <c r="F1668" s="23">
        <f>LOOKUP(2,1/((Purchase!$D$1:$D$500=C1668)*(Purchase!$A$1:$A$500&lt;=A1668)),Purchase!$G$1:$G$500)</f>
        <v/>
      </c>
      <c r="G1668" s="23">
        <f>+D1668*F1668</f>
        <v/>
      </c>
    </row>
    <row r="1669">
      <c r="A1669" s="8" t="n"/>
      <c r="B1669" s="8" t="n"/>
      <c r="C1669" s="21" t="n"/>
      <c r="D1669" s="22" t="n"/>
      <c r="E1669" s="22">
        <f>IFERROR(+VLOOKUP(C1669,Master!B:C,2,0),"")</f>
        <v/>
      </c>
      <c r="F1669" s="23">
        <f>LOOKUP(2,1/((Purchase!$D$1:$D$500=C1669)*(Purchase!$A$1:$A$500&lt;=A1669)),Purchase!$G$1:$G$500)</f>
        <v/>
      </c>
      <c r="G1669" s="23">
        <f>+D1669*F1669</f>
        <v/>
      </c>
    </row>
    <row r="1670">
      <c r="A1670" s="8" t="n"/>
      <c r="B1670" s="8" t="n"/>
      <c r="C1670" s="21" t="n"/>
      <c r="D1670" s="22" t="n"/>
      <c r="E1670" s="22">
        <f>IFERROR(+VLOOKUP(C1670,Master!B:C,2,0),"")</f>
        <v/>
      </c>
      <c r="F1670" s="23">
        <f>LOOKUP(2,1/((Purchase!$D$1:$D$500=C1670)*(Purchase!$A$1:$A$500&lt;=A1670)),Purchase!$G$1:$G$500)</f>
        <v/>
      </c>
      <c r="G1670" s="23">
        <f>+D1670*F1670</f>
        <v/>
      </c>
    </row>
    <row r="1671">
      <c r="A1671" s="8" t="n"/>
      <c r="B1671" s="8" t="n"/>
      <c r="C1671" s="21" t="n"/>
      <c r="D1671" s="22" t="n"/>
      <c r="E1671" s="22">
        <f>IFERROR(+VLOOKUP(C1671,Master!B:C,2,0),"")</f>
        <v/>
      </c>
      <c r="F1671" s="23">
        <f>LOOKUP(2,1/((Purchase!$D$1:$D$500=C1671)*(Purchase!$A$1:$A$500&lt;=A1671)),Purchase!$G$1:$G$500)</f>
        <v/>
      </c>
      <c r="G1671" s="23">
        <f>+D1671*F1671</f>
        <v/>
      </c>
    </row>
    <row r="1672">
      <c r="A1672" s="8" t="n"/>
      <c r="B1672" s="8" t="n"/>
      <c r="C1672" s="21" t="n"/>
      <c r="D1672" s="22" t="n"/>
      <c r="E1672" s="22">
        <f>IFERROR(+VLOOKUP(C1672,Master!B:C,2,0),"")</f>
        <v/>
      </c>
      <c r="F1672" s="23">
        <f>LOOKUP(2,1/((Purchase!$D$1:$D$500=C1672)*(Purchase!$A$1:$A$500&lt;=A1672)),Purchase!$G$1:$G$500)</f>
        <v/>
      </c>
      <c r="G1672" s="23">
        <f>+D1672*F1672</f>
        <v/>
      </c>
    </row>
    <row r="1673">
      <c r="A1673" s="8" t="n"/>
      <c r="B1673" s="8" t="n"/>
      <c r="C1673" s="21" t="n"/>
      <c r="D1673" s="22" t="n"/>
      <c r="E1673" s="22">
        <f>IFERROR(+VLOOKUP(C1673,Master!B:C,2,0),"")</f>
        <v/>
      </c>
      <c r="F1673" s="23">
        <f>LOOKUP(2,1/((Purchase!$D$1:$D$500=C1673)*(Purchase!$A$1:$A$500&lt;=A1673)),Purchase!$G$1:$G$500)</f>
        <v/>
      </c>
      <c r="G1673" s="23">
        <f>+D1673*F1673</f>
        <v/>
      </c>
    </row>
    <row r="1674">
      <c r="A1674" s="8" t="n"/>
      <c r="B1674" s="8" t="n"/>
      <c r="C1674" s="21" t="n"/>
      <c r="D1674" s="22" t="n"/>
      <c r="E1674" s="22">
        <f>IFERROR(+VLOOKUP(C1674,Master!B:C,2,0),"")</f>
        <v/>
      </c>
      <c r="F1674" s="23">
        <f>LOOKUP(2,1/((Purchase!$D$1:$D$500=C1674)*(Purchase!$A$1:$A$500&lt;=A1674)),Purchase!$G$1:$G$500)</f>
        <v/>
      </c>
      <c r="G1674" s="23">
        <f>+D1674*F1674</f>
        <v/>
      </c>
    </row>
    <row r="1675">
      <c r="A1675" s="8" t="n"/>
      <c r="B1675" s="8" t="n"/>
      <c r="C1675" s="21" t="n"/>
      <c r="D1675" s="22" t="n"/>
      <c r="E1675" s="22">
        <f>IFERROR(+VLOOKUP(C1675,Master!B:C,2,0),"")</f>
        <v/>
      </c>
      <c r="F1675" s="23">
        <f>LOOKUP(2,1/((Purchase!$D$1:$D$500=C1675)*(Purchase!$A$1:$A$500&lt;=A1675)),Purchase!$G$1:$G$500)</f>
        <v/>
      </c>
      <c r="G1675" s="23">
        <f>+D1675*F1675</f>
        <v/>
      </c>
    </row>
    <row r="1676">
      <c r="A1676" s="8" t="n"/>
      <c r="B1676" s="8" t="n"/>
      <c r="C1676" s="21" t="n"/>
      <c r="D1676" s="22" t="n"/>
      <c r="E1676" s="22">
        <f>IFERROR(+VLOOKUP(C1676,Master!B:C,2,0),"")</f>
        <v/>
      </c>
      <c r="F1676" s="23">
        <f>LOOKUP(2,1/((Purchase!$D$1:$D$500=C1676)*(Purchase!$A$1:$A$500&lt;=A1676)),Purchase!$G$1:$G$500)</f>
        <v/>
      </c>
      <c r="G1676" s="23">
        <f>+D1676*F1676</f>
        <v/>
      </c>
    </row>
    <row r="1677">
      <c r="A1677" s="8" t="n"/>
      <c r="B1677" s="8" t="n"/>
      <c r="C1677" s="21" t="n"/>
      <c r="D1677" s="22" t="n"/>
      <c r="E1677" s="22">
        <f>IFERROR(+VLOOKUP(C1677,Master!B:C,2,0),"")</f>
        <v/>
      </c>
      <c r="F1677" s="23">
        <f>LOOKUP(2,1/((Purchase!$D$1:$D$500=C1677)*(Purchase!$A$1:$A$500&lt;=A1677)),Purchase!$G$1:$G$500)</f>
        <v/>
      </c>
      <c r="G1677" s="23">
        <f>+D1677*F1677</f>
        <v/>
      </c>
    </row>
    <row r="1678">
      <c r="A1678" s="8" t="n"/>
      <c r="B1678" s="8" t="n"/>
      <c r="C1678" s="21" t="n"/>
      <c r="D1678" s="22" t="n"/>
      <c r="E1678" s="22">
        <f>IFERROR(+VLOOKUP(C1678,Master!B:C,2,0),"")</f>
        <v/>
      </c>
      <c r="F1678" s="23">
        <f>LOOKUP(2,1/((Purchase!$D$1:$D$500=C1678)*(Purchase!$A$1:$A$500&lt;=A1678)),Purchase!$G$1:$G$500)</f>
        <v/>
      </c>
      <c r="G1678" s="23">
        <f>+D1678*F1678</f>
        <v/>
      </c>
    </row>
    <row r="1679">
      <c r="A1679" s="8" t="n"/>
      <c r="B1679" s="8" t="n"/>
      <c r="C1679" s="21" t="n"/>
      <c r="D1679" s="22" t="n"/>
      <c r="E1679" s="22">
        <f>IFERROR(+VLOOKUP(C1679,Master!B:C,2,0),"")</f>
        <v/>
      </c>
      <c r="F1679" s="23">
        <f>LOOKUP(2,1/((Purchase!$D$1:$D$500=C1679)*(Purchase!$A$1:$A$500&lt;=A1679)),Purchase!$G$1:$G$500)</f>
        <v/>
      </c>
      <c r="G1679" s="23">
        <f>+D1679*F1679</f>
        <v/>
      </c>
    </row>
    <row r="1680">
      <c r="A1680" s="8" t="n"/>
      <c r="B1680" s="8" t="n"/>
      <c r="C1680" s="21" t="n"/>
      <c r="D1680" s="22" t="n"/>
      <c r="E1680" s="22">
        <f>IFERROR(+VLOOKUP(C1680,Master!B:C,2,0),"")</f>
        <v/>
      </c>
      <c r="F1680" s="23">
        <f>LOOKUP(2,1/((Purchase!$D$1:$D$500=C1680)*(Purchase!$A$1:$A$500&lt;=A1680)),Purchase!$G$1:$G$500)</f>
        <v/>
      </c>
      <c r="G1680" s="23">
        <f>+D1680*F1680</f>
        <v/>
      </c>
    </row>
    <row r="1681">
      <c r="A1681" s="8" t="n"/>
      <c r="B1681" s="8" t="n"/>
      <c r="C1681" s="21" t="n"/>
      <c r="D1681" s="22" t="n"/>
      <c r="E1681" s="22">
        <f>IFERROR(+VLOOKUP(C1681,Master!B:C,2,0),"")</f>
        <v/>
      </c>
      <c r="F1681" s="23">
        <f>LOOKUP(2,1/((Purchase!$D$1:$D$500=C1681)*(Purchase!$A$1:$A$500&lt;=A1681)),Purchase!$G$1:$G$500)</f>
        <v/>
      </c>
      <c r="G1681" s="23">
        <f>+D1681*F1681</f>
        <v/>
      </c>
    </row>
    <row r="1682">
      <c r="A1682" s="8" t="n"/>
      <c r="B1682" s="8" t="n"/>
      <c r="C1682" s="21" t="n"/>
      <c r="D1682" s="22" t="n"/>
      <c r="E1682" s="22">
        <f>IFERROR(+VLOOKUP(C1682,Master!B:C,2,0),"")</f>
        <v/>
      </c>
      <c r="F1682" s="23">
        <f>LOOKUP(2,1/((Purchase!$D$1:$D$500=C1682)*(Purchase!$A$1:$A$500&lt;=A1682)),Purchase!$G$1:$G$500)</f>
        <v/>
      </c>
      <c r="G1682" s="23">
        <f>+D1682*F1682</f>
        <v/>
      </c>
    </row>
    <row r="1683">
      <c r="A1683" s="8" t="n"/>
      <c r="B1683" s="8" t="n"/>
      <c r="C1683" s="21" t="n"/>
      <c r="D1683" s="22" t="n"/>
      <c r="E1683" s="22">
        <f>IFERROR(+VLOOKUP(C1683,Master!B:C,2,0),"")</f>
        <v/>
      </c>
      <c r="F1683" s="23">
        <f>LOOKUP(2,1/((Purchase!$D$1:$D$500=C1683)*(Purchase!$A$1:$A$500&lt;=A1683)),Purchase!$G$1:$G$500)</f>
        <v/>
      </c>
      <c r="G1683" s="23">
        <f>+D1683*F1683</f>
        <v/>
      </c>
    </row>
    <row r="1684">
      <c r="A1684" s="8" t="n"/>
      <c r="B1684" s="8" t="n"/>
      <c r="C1684" s="21" t="n"/>
      <c r="D1684" s="22" t="n"/>
      <c r="E1684" s="22">
        <f>IFERROR(+VLOOKUP(C1684,Master!B:C,2,0),"")</f>
        <v/>
      </c>
      <c r="F1684" s="23">
        <f>LOOKUP(2,1/((Purchase!$D$1:$D$500=C1684)*(Purchase!$A$1:$A$500&lt;=A1684)),Purchase!$G$1:$G$500)</f>
        <v/>
      </c>
      <c r="G1684" s="23">
        <f>+D1684*F1684</f>
        <v/>
      </c>
    </row>
    <row r="1685">
      <c r="A1685" s="8" t="n"/>
      <c r="B1685" s="8" t="n"/>
      <c r="C1685" s="21" t="n"/>
      <c r="D1685" s="22" t="n"/>
      <c r="E1685" s="22">
        <f>IFERROR(+VLOOKUP(C1685,Master!B:C,2,0),"")</f>
        <v/>
      </c>
      <c r="F1685" s="23">
        <f>LOOKUP(2,1/((Purchase!$D$1:$D$500=C1685)*(Purchase!$A$1:$A$500&lt;=A1685)),Purchase!$G$1:$G$500)</f>
        <v/>
      </c>
      <c r="G1685" s="23">
        <f>+D1685*F1685</f>
        <v/>
      </c>
    </row>
    <row r="1686">
      <c r="A1686" s="8" t="n"/>
      <c r="B1686" s="8" t="n"/>
      <c r="C1686" s="21" t="n"/>
      <c r="D1686" s="22" t="n"/>
      <c r="E1686" s="22">
        <f>IFERROR(+VLOOKUP(C1686,Master!B:C,2,0),"")</f>
        <v/>
      </c>
      <c r="F1686" s="23">
        <f>LOOKUP(2,1/((Purchase!$D$1:$D$500=C1686)*(Purchase!$A$1:$A$500&lt;=A1686)),Purchase!$G$1:$G$500)</f>
        <v/>
      </c>
      <c r="G1686" s="23">
        <f>+D1686*F1686</f>
        <v/>
      </c>
    </row>
    <row r="1687">
      <c r="A1687" s="8" t="n"/>
      <c r="B1687" s="8" t="n"/>
      <c r="C1687" s="21" t="n"/>
      <c r="D1687" s="22" t="n"/>
      <c r="E1687" s="22">
        <f>IFERROR(+VLOOKUP(C1687,Master!B:C,2,0),"")</f>
        <v/>
      </c>
      <c r="F1687" s="23">
        <f>LOOKUP(2,1/((Purchase!$D$1:$D$500=C1687)*(Purchase!$A$1:$A$500&lt;=A1687)),Purchase!$G$1:$G$500)</f>
        <v/>
      </c>
      <c r="G1687" s="23">
        <f>+D1687*F1687</f>
        <v/>
      </c>
    </row>
    <row r="1688">
      <c r="A1688" s="8" t="n"/>
      <c r="B1688" s="8" t="n"/>
      <c r="C1688" s="21" t="n"/>
      <c r="D1688" s="22" t="n"/>
      <c r="E1688" s="22">
        <f>IFERROR(+VLOOKUP(C1688,Master!B:C,2,0),"")</f>
        <v/>
      </c>
      <c r="F1688" s="23">
        <f>LOOKUP(2,1/((Purchase!$D$1:$D$500=C1688)*(Purchase!$A$1:$A$500&lt;=A1688)),Purchase!$G$1:$G$500)</f>
        <v/>
      </c>
      <c r="G1688" s="23">
        <f>+D1688*F1688</f>
        <v/>
      </c>
    </row>
    <row r="1689">
      <c r="A1689" s="8" t="n"/>
      <c r="B1689" s="8" t="n"/>
      <c r="C1689" s="21" t="n"/>
      <c r="D1689" s="22" t="n"/>
      <c r="E1689" s="22">
        <f>IFERROR(+VLOOKUP(C1689,Master!B:C,2,0),"")</f>
        <v/>
      </c>
      <c r="F1689" s="23">
        <f>LOOKUP(2,1/((Purchase!$D$1:$D$500=C1689)*(Purchase!$A$1:$A$500&lt;=A1689)),Purchase!$G$1:$G$500)</f>
        <v/>
      </c>
      <c r="G1689" s="23">
        <f>+D1689*F1689</f>
        <v/>
      </c>
    </row>
    <row r="1690">
      <c r="A1690" s="8" t="n"/>
      <c r="B1690" s="8" t="n"/>
      <c r="C1690" s="21" t="n"/>
      <c r="D1690" s="22" t="n"/>
      <c r="E1690" s="22">
        <f>IFERROR(+VLOOKUP(C1690,Master!B:C,2,0),"")</f>
        <v/>
      </c>
      <c r="F1690" s="23">
        <f>LOOKUP(2,1/((Purchase!$D$1:$D$500=C1690)*(Purchase!$A$1:$A$500&lt;=A1690)),Purchase!$G$1:$G$500)</f>
        <v/>
      </c>
      <c r="G1690" s="23">
        <f>+D1690*F1690</f>
        <v/>
      </c>
    </row>
    <row r="1691">
      <c r="A1691" s="8" t="n"/>
      <c r="B1691" s="8" t="n"/>
      <c r="C1691" s="21" t="n"/>
      <c r="D1691" s="22" t="n"/>
      <c r="E1691" s="22">
        <f>IFERROR(+VLOOKUP(C1691,Master!B:C,2,0),"")</f>
        <v/>
      </c>
      <c r="F1691" s="23">
        <f>LOOKUP(2,1/((Purchase!$D$1:$D$500=C1691)*(Purchase!$A$1:$A$500&lt;=A1691)),Purchase!$G$1:$G$500)</f>
        <v/>
      </c>
      <c r="G1691" s="23">
        <f>+D1691*F1691</f>
        <v/>
      </c>
    </row>
    <row r="1692">
      <c r="A1692" s="8" t="n"/>
      <c r="B1692" s="8" t="n"/>
      <c r="C1692" s="21" t="n"/>
      <c r="D1692" s="22" t="n"/>
      <c r="E1692" s="22">
        <f>IFERROR(+VLOOKUP(C1692,Master!B:C,2,0),"")</f>
        <v/>
      </c>
      <c r="F1692" s="23">
        <f>LOOKUP(2,1/((Purchase!$D$1:$D$500=C1692)*(Purchase!$A$1:$A$500&lt;=A1692)),Purchase!$G$1:$G$500)</f>
        <v/>
      </c>
      <c r="G1692" s="23">
        <f>+D1692*F1692</f>
        <v/>
      </c>
    </row>
    <row r="1693">
      <c r="A1693" s="8" t="n"/>
      <c r="B1693" s="8" t="n"/>
      <c r="C1693" s="21" t="n"/>
      <c r="D1693" s="22" t="n"/>
      <c r="E1693" s="22">
        <f>IFERROR(+VLOOKUP(C1693,Master!B:C,2,0),"")</f>
        <v/>
      </c>
      <c r="F1693" s="23">
        <f>LOOKUP(2,1/((Purchase!$D$1:$D$500=C1693)*(Purchase!$A$1:$A$500&lt;=A1693)),Purchase!$G$1:$G$500)</f>
        <v/>
      </c>
      <c r="G1693" s="23">
        <f>+D1693*F1693</f>
        <v/>
      </c>
    </row>
    <row r="1694">
      <c r="A1694" s="8" t="n"/>
      <c r="B1694" s="8" t="n"/>
      <c r="C1694" s="21" t="n"/>
      <c r="D1694" s="22" t="n"/>
      <c r="E1694" s="22">
        <f>IFERROR(+VLOOKUP(C1694,Master!B:C,2,0),"")</f>
        <v/>
      </c>
      <c r="F1694" s="23">
        <f>LOOKUP(2,1/((Purchase!$D$1:$D$500=C1694)*(Purchase!$A$1:$A$500&lt;=A1694)),Purchase!$G$1:$G$500)</f>
        <v/>
      </c>
      <c r="G1694" s="23">
        <f>+D1694*F1694</f>
        <v/>
      </c>
    </row>
    <row r="1695">
      <c r="A1695" s="8" t="n"/>
      <c r="B1695" s="8" t="n"/>
      <c r="C1695" s="21" t="n"/>
      <c r="D1695" s="22" t="n"/>
      <c r="E1695" s="22">
        <f>IFERROR(+VLOOKUP(C1695,Master!B:C,2,0),"")</f>
        <v/>
      </c>
      <c r="F1695" s="23">
        <f>LOOKUP(2,1/((Purchase!$D$1:$D$500=C1695)*(Purchase!$A$1:$A$500&lt;=A1695)),Purchase!$G$1:$G$500)</f>
        <v/>
      </c>
      <c r="G1695" s="23">
        <f>+D1695*F1695</f>
        <v/>
      </c>
    </row>
    <row r="1696">
      <c r="A1696" s="8" t="n"/>
      <c r="B1696" s="8" t="n"/>
      <c r="C1696" s="21" t="n"/>
      <c r="D1696" s="22" t="n"/>
      <c r="E1696" s="22">
        <f>IFERROR(+VLOOKUP(C1696,Master!B:C,2,0),"")</f>
        <v/>
      </c>
      <c r="F1696" s="23">
        <f>LOOKUP(2,1/((Purchase!$D$1:$D$500=C1696)*(Purchase!$A$1:$A$500&lt;=A1696)),Purchase!$G$1:$G$500)</f>
        <v/>
      </c>
      <c r="G1696" s="23">
        <f>+D1696*F1696</f>
        <v/>
      </c>
    </row>
    <row r="1697">
      <c r="A1697" s="8" t="n"/>
      <c r="B1697" s="8" t="n"/>
      <c r="C1697" s="21" t="n"/>
      <c r="D1697" s="22" t="n"/>
      <c r="E1697" s="22">
        <f>IFERROR(+VLOOKUP(C1697,Master!B:C,2,0),"")</f>
        <v/>
      </c>
      <c r="F1697" s="23">
        <f>LOOKUP(2,1/((Purchase!$D$1:$D$500=C1697)*(Purchase!$A$1:$A$500&lt;=A1697)),Purchase!$G$1:$G$500)</f>
        <v/>
      </c>
      <c r="G1697" s="23">
        <f>+D1697*F1697</f>
        <v/>
      </c>
    </row>
    <row r="1698">
      <c r="A1698" s="8" t="n"/>
      <c r="B1698" s="8" t="n"/>
      <c r="C1698" s="21" t="n"/>
      <c r="D1698" s="22" t="n"/>
      <c r="E1698" s="22">
        <f>IFERROR(+VLOOKUP(C1698,Master!B:C,2,0),"")</f>
        <v/>
      </c>
      <c r="F1698" s="23">
        <f>LOOKUP(2,1/((Purchase!$D$1:$D$500=C1698)*(Purchase!$A$1:$A$500&lt;=A1698)),Purchase!$G$1:$G$500)</f>
        <v/>
      </c>
      <c r="G1698" s="23">
        <f>+D1698*F1698</f>
        <v/>
      </c>
    </row>
    <row r="1699">
      <c r="A1699" s="8" t="n"/>
      <c r="B1699" s="8" t="n"/>
      <c r="C1699" s="21" t="n"/>
      <c r="D1699" s="22" t="n"/>
      <c r="E1699" s="22">
        <f>IFERROR(+VLOOKUP(C1699,Master!B:C,2,0),"")</f>
        <v/>
      </c>
      <c r="F1699" s="23">
        <f>LOOKUP(2,1/((Purchase!$D$1:$D$500=C1699)*(Purchase!$A$1:$A$500&lt;=A1699)),Purchase!$G$1:$G$500)</f>
        <v/>
      </c>
      <c r="G1699" s="23">
        <f>+D1699*F1699</f>
        <v/>
      </c>
    </row>
    <row r="1700">
      <c r="A1700" s="8" t="n"/>
      <c r="B1700" s="8" t="n"/>
      <c r="C1700" s="21" t="n"/>
      <c r="D1700" s="22" t="n"/>
      <c r="E1700" s="22">
        <f>IFERROR(+VLOOKUP(C1700,Master!B:C,2,0),"")</f>
        <v/>
      </c>
      <c r="F1700" s="23">
        <f>LOOKUP(2,1/((Purchase!$D$1:$D$500=C1700)*(Purchase!$A$1:$A$500&lt;=A1700)),Purchase!$G$1:$G$500)</f>
        <v/>
      </c>
      <c r="G1700" s="23">
        <f>+D1700*F1700</f>
        <v/>
      </c>
    </row>
    <row r="1701">
      <c r="A1701" s="8" t="n"/>
      <c r="B1701" s="8" t="n"/>
      <c r="C1701" s="21" t="n"/>
      <c r="D1701" s="22" t="n"/>
      <c r="E1701" s="22">
        <f>IFERROR(+VLOOKUP(C1701,Master!B:C,2,0),"")</f>
        <v/>
      </c>
      <c r="F1701" s="23">
        <f>LOOKUP(2,1/((Purchase!$D$1:$D$500=C1701)*(Purchase!$A$1:$A$500&lt;=A1701)),Purchase!$G$1:$G$500)</f>
        <v/>
      </c>
      <c r="G1701" s="23">
        <f>+D1701*F1701</f>
        <v/>
      </c>
    </row>
    <row r="1702">
      <c r="A1702" s="8" t="n"/>
      <c r="B1702" s="8" t="n"/>
      <c r="C1702" s="21" t="n"/>
      <c r="D1702" s="22" t="n"/>
      <c r="E1702" s="22">
        <f>IFERROR(+VLOOKUP(C1702,Master!B:C,2,0),"")</f>
        <v/>
      </c>
      <c r="F1702" s="23">
        <f>LOOKUP(2,1/((Purchase!$D$1:$D$500=C1702)*(Purchase!$A$1:$A$500&lt;=A1702)),Purchase!$G$1:$G$500)</f>
        <v/>
      </c>
      <c r="G1702" s="23">
        <f>+D1702*F1702</f>
        <v/>
      </c>
    </row>
    <row r="1703">
      <c r="A1703" s="8" t="n"/>
      <c r="B1703" s="8" t="n"/>
      <c r="C1703" s="21" t="n"/>
      <c r="D1703" s="22" t="n"/>
      <c r="E1703" s="22">
        <f>IFERROR(+VLOOKUP(C1703,Master!B:C,2,0),"")</f>
        <v/>
      </c>
      <c r="F1703" s="23">
        <f>LOOKUP(2,1/((Purchase!$D$1:$D$500=C1703)*(Purchase!$A$1:$A$500&lt;=A1703)),Purchase!$G$1:$G$500)</f>
        <v/>
      </c>
      <c r="G1703" s="23">
        <f>+D1703*F1703</f>
        <v/>
      </c>
    </row>
    <row r="1704">
      <c r="A1704" s="8" t="n"/>
      <c r="B1704" s="8" t="n"/>
      <c r="C1704" s="21" t="n"/>
      <c r="D1704" s="22" t="n"/>
      <c r="E1704" s="22">
        <f>IFERROR(+VLOOKUP(C1704,Master!B:C,2,0),"")</f>
        <v/>
      </c>
      <c r="F1704" s="23">
        <f>LOOKUP(2,1/((Purchase!$D$1:$D$500=C1704)*(Purchase!$A$1:$A$500&lt;=A1704)),Purchase!$G$1:$G$500)</f>
        <v/>
      </c>
      <c r="G1704" s="23">
        <f>+D1704*F1704</f>
        <v/>
      </c>
    </row>
    <row r="1705">
      <c r="A1705" s="8" t="n"/>
      <c r="B1705" s="8" t="n"/>
      <c r="C1705" s="21" t="n"/>
      <c r="D1705" s="22" t="n"/>
      <c r="E1705" s="22">
        <f>IFERROR(+VLOOKUP(C1705,Master!B:C,2,0),"")</f>
        <v/>
      </c>
      <c r="F1705" s="23">
        <f>LOOKUP(2,1/((Purchase!$D$1:$D$500=C1705)*(Purchase!$A$1:$A$500&lt;=A1705)),Purchase!$G$1:$G$500)</f>
        <v/>
      </c>
      <c r="G1705" s="23">
        <f>+D1705*F1705</f>
        <v/>
      </c>
    </row>
    <row r="1706">
      <c r="A1706" s="8" t="n"/>
      <c r="B1706" s="8" t="n"/>
      <c r="C1706" s="21" t="n"/>
      <c r="D1706" s="22" t="n"/>
      <c r="E1706" s="22">
        <f>IFERROR(+VLOOKUP(C1706,Master!B:C,2,0),"")</f>
        <v/>
      </c>
      <c r="F1706" s="23">
        <f>LOOKUP(2,1/((Purchase!$D$1:$D$500=C1706)*(Purchase!$A$1:$A$500&lt;=A1706)),Purchase!$G$1:$G$500)</f>
        <v/>
      </c>
      <c r="G1706" s="23">
        <f>+D1706*F1706</f>
        <v/>
      </c>
    </row>
    <row r="1707">
      <c r="A1707" s="8" t="n"/>
      <c r="B1707" s="8" t="n"/>
      <c r="C1707" s="21" t="n"/>
      <c r="D1707" s="22" t="n"/>
      <c r="E1707" s="22">
        <f>IFERROR(+VLOOKUP(C1707,Master!B:C,2,0),"")</f>
        <v/>
      </c>
      <c r="F1707" s="23">
        <f>LOOKUP(2,1/((Purchase!$D$1:$D$500=C1707)*(Purchase!$A$1:$A$500&lt;=A1707)),Purchase!$G$1:$G$500)</f>
        <v/>
      </c>
      <c r="G1707" s="23">
        <f>+D1707*F1707</f>
        <v/>
      </c>
    </row>
    <row r="1708">
      <c r="A1708" s="8" t="n"/>
      <c r="B1708" s="8" t="n"/>
      <c r="C1708" s="21" t="n"/>
      <c r="D1708" s="22" t="n"/>
      <c r="E1708" s="22">
        <f>IFERROR(+VLOOKUP(C1708,Master!B:C,2,0),"")</f>
        <v/>
      </c>
      <c r="F1708" s="23">
        <f>LOOKUP(2,1/((Purchase!$D$1:$D$500=C1708)*(Purchase!$A$1:$A$500&lt;=A1708)),Purchase!$G$1:$G$500)</f>
        <v/>
      </c>
      <c r="G1708" s="23">
        <f>+D1708*F1708</f>
        <v/>
      </c>
    </row>
    <row r="1709">
      <c r="A1709" s="8" t="n"/>
      <c r="B1709" s="8" t="n"/>
      <c r="C1709" s="21" t="n"/>
      <c r="D1709" s="22" t="n"/>
      <c r="E1709" s="22">
        <f>IFERROR(+VLOOKUP(C1709,Master!B:C,2,0),"")</f>
        <v/>
      </c>
      <c r="F1709" s="23">
        <f>LOOKUP(2,1/((Purchase!$D$1:$D$500=C1709)*(Purchase!$A$1:$A$500&lt;=A1709)),Purchase!$G$1:$G$500)</f>
        <v/>
      </c>
      <c r="G1709" s="23">
        <f>+D1709*F1709</f>
        <v/>
      </c>
    </row>
    <row r="1710">
      <c r="A1710" s="8" t="n"/>
      <c r="B1710" s="8" t="n"/>
      <c r="C1710" s="21" t="n"/>
      <c r="D1710" s="22" t="n"/>
      <c r="E1710" s="22">
        <f>IFERROR(+VLOOKUP(C1710,Master!B:C,2,0),"")</f>
        <v/>
      </c>
      <c r="F1710" s="23">
        <f>LOOKUP(2,1/((Purchase!$D$1:$D$500=C1710)*(Purchase!$A$1:$A$500&lt;=A1710)),Purchase!$G$1:$G$500)</f>
        <v/>
      </c>
      <c r="G1710" s="23">
        <f>+D1710*F1710</f>
        <v/>
      </c>
    </row>
    <row r="1711">
      <c r="A1711" s="8" t="n"/>
      <c r="B1711" s="8" t="n"/>
      <c r="C1711" s="21" t="n"/>
      <c r="D1711" s="22" t="n"/>
      <c r="E1711" s="22">
        <f>IFERROR(+VLOOKUP(C1711,Master!B:C,2,0),"")</f>
        <v/>
      </c>
      <c r="F1711" s="23">
        <f>LOOKUP(2,1/((Purchase!$D$1:$D$500=C1711)*(Purchase!$A$1:$A$500&lt;=A1711)),Purchase!$G$1:$G$500)</f>
        <v/>
      </c>
      <c r="G1711" s="23">
        <f>+D1711*F1711</f>
        <v/>
      </c>
    </row>
    <row r="1712">
      <c r="A1712" s="8" t="n"/>
      <c r="B1712" s="8" t="n"/>
      <c r="C1712" s="21" t="n"/>
      <c r="D1712" s="22" t="n"/>
      <c r="E1712" s="22">
        <f>IFERROR(+VLOOKUP(C1712,Master!B:C,2,0),"")</f>
        <v/>
      </c>
      <c r="F1712" s="23">
        <f>LOOKUP(2,1/((Purchase!$D$1:$D$500=C1712)*(Purchase!$A$1:$A$500&lt;=A1712)),Purchase!$G$1:$G$500)</f>
        <v/>
      </c>
      <c r="G1712" s="23">
        <f>+D1712*F1712</f>
        <v/>
      </c>
    </row>
    <row r="1713">
      <c r="A1713" s="8" t="n"/>
      <c r="B1713" s="8" t="n"/>
      <c r="C1713" s="21" t="n"/>
      <c r="D1713" s="22" t="n"/>
      <c r="E1713" s="22">
        <f>IFERROR(+VLOOKUP(C1713,Master!B:C,2,0),"")</f>
        <v/>
      </c>
      <c r="F1713" s="23">
        <f>LOOKUP(2,1/((Purchase!$D$1:$D$500=C1713)*(Purchase!$A$1:$A$500&lt;=A1713)),Purchase!$G$1:$G$500)</f>
        <v/>
      </c>
      <c r="G1713" s="23">
        <f>+D1713*F1713</f>
        <v/>
      </c>
    </row>
    <row r="1714">
      <c r="A1714" s="8" t="n"/>
      <c r="B1714" s="8" t="n"/>
      <c r="C1714" s="21" t="n"/>
      <c r="D1714" s="22" t="n"/>
      <c r="E1714" s="22">
        <f>IFERROR(+VLOOKUP(C1714,Master!B:C,2,0),"")</f>
        <v/>
      </c>
      <c r="F1714" s="23">
        <f>LOOKUP(2,1/((Purchase!$D$1:$D$500=C1714)*(Purchase!$A$1:$A$500&lt;=A1714)),Purchase!$G$1:$G$500)</f>
        <v/>
      </c>
      <c r="G1714" s="23">
        <f>+D1714*F1714</f>
        <v/>
      </c>
    </row>
    <row r="1715">
      <c r="A1715" s="8" t="n"/>
      <c r="B1715" s="8" t="n"/>
      <c r="C1715" s="21" t="n"/>
      <c r="D1715" s="22" t="n"/>
      <c r="E1715" s="22">
        <f>IFERROR(+VLOOKUP(C1715,Master!B:C,2,0),"")</f>
        <v/>
      </c>
      <c r="F1715" s="23">
        <f>LOOKUP(2,1/((Purchase!$D$1:$D$500=C1715)*(Purchase!$A$1:$A$500&lt;=A1715)),Purchase!$G$1:$G$500)</f>
        <v/>
      </c>
      <c r="G1715" s="23">
        <f>+D1715*F1715</f>
        <v/>
      </c>
    </row>
    <row r="1716">
      <c r="A1716" s="8" t="n"/>
      <c r="B1716" s="8" t="n"/>
      <c r="C1716" s="21" t="n"/>
      <c r="D1716" s="22" t="n"/>
      <c r="E1716" s="22">
        <f>IFERROR(+VLOOKUP(C1716,Master!B:C,2,0),"")</f>
        <v/>
      </c>
      <c r="F1716" s="23">
        <f>LOOKUP(2,1/((Purchase!$D$1:$D$500=C1716)*(Purchase!$A$1:$A$500&lt;=A1716)),Purchase!$G$1:$G$500)</f>
        <v/>
      </c>
      <c r="G1716" s="23">
        <f>+D1716*F1716</f>
        <v/>
      </c>
    </row>
    <row r="1717">
      <c r="A1717" s="8" t="n"/>
      <c r="B1717" s="8" t="n"/>
      <c r="C1717" s="21" t="n"/>
      <c r="D1717" s="22" t="n"/>
      <c r="E1717" s="22">
        <f>IFERROR(+VLOOKUP(C1717,Master!B:C,2,0),"")</f>
        <v/>
      </c>
      <c r="F1717" s="23">
        <f>LOOKUP(2,1/((Purchase!$D$1:$D$500=C1717)*(Purchase!$A$1:$A$500&lt;=A1717)),Purchase!$G$1:$G$500)</f>
        <v/>
      </c>
      <c r="G1717" s="23">
        <f>+D1717*F1717</f>
        <v/>
      </c>
    </row>
    <row r="1718">
      <c r="A1718" s="8" t="n"/>
      <c r="B1718" s="8" t="n"/>
      <c r="C1718" s="21" t="n"/>
      <c r="D1718" s="22" t="n"/>
      <c r="E1718" s="22">
        <f>IFERROR(+VLOOKUP(C1718,Master!B:C,2,0),"")</f>
        <v/>
      </c>
      <c r="F1718" s="23">
        <f>LOOKUP(2,1/((Purchase!$D$1:$D$500=C1718)*(Purchase!$A$1:$A$500&lt;=A1718)),Purchase!$G$1:$G$500)</f>
        <v/>
      </c>
      <c r="G1718" s="23">
        <f>+D1718*F1718</f>
        <v/>
      </c>
    </row>
    <row r="1719">
      <c r="A1719" s="8" t="n"/>
      <c r="B1719" s="8" t="n"/>
      <c r="C1719" s="21" t="n"/>
      <c r="D1719" s="22" t="n"/>
      <c r="E1719" s="22">
        <f>IFERROR(+VLOOKUP(C1719,Master!B:C,2,0),"")</f>
        <v/>
      </c>
      <c r="F1719" s="23">
        <f>LOOKUP(2,1/((Purchase!$D$1:$D$500=C1719)*(Purchase!$A$1:$A$500&lt;=A1719)),Purchase!$G$1:$G$500)</f>
        <v/>
      </c>
      <c r="G1719" s="23">
        <f>+D1719*F1719</f>
        <v/>
      </c>
    </row>
    <row r="1720">
      <c r="A1720" s="8" t="n"/>
      <c r="B1720" s="8" t="n"/>
      <c r="C1720" s="21" t="n"/>
      <c r="D1720" s="22" t="n"/>
      <c r="E1720" s="22">
        <f>IFERROR(+VLOOKUP(C1720,Master!B:C,2,0),"")</f>
        <v/>
      </c>
      <c r="F1720" s="23">
        <f>LOOKUP(2,1/((Purchase!$D$1:$D$500=C1720)*(Purchase!$A$1:$A$500&lt;=A1720)),Purchase!$G$1:$G$500)</f>
        <v/>
      </c>
      <c r="G1720" s="23">
        <f>+D1720*F1720</f>
        <v/>
      </c>
    </row>
    <row r="1721">
      <c r="A1721" s="8" t="n"/>
      <c r="B1721" s="8" t="n"/>
      <c r="C1721" s="21" t="n"/>
      <c r="D1721" s="22" t="n"/>
      <c r="E1721" s="22">
        <f>IFERROR(+VLOOKUP(C1721,Master!B:C,2,0),"")</f>
        <v/>
      </c>
      <c r="F1721" s="23">
        <f>LOOKUP(2,1/((Purchase!$D$1:$D$500=C1721)*(Purchase!$A$1:$A$500&lt;=A1721)),Purchase!$G$1:$G$500)</f>
        <v/>
      </c>
      <c r="G1721" s="23">
        <f>+D1721*F1721</f>
        <v/>
      </c>
    </row>
    <row r="1722">
      <c r="A1722" s="8" t="n"/>
      <c r="B1722" s="8" t="n"/>
      <c r="C1722" s="21" t="n"/>
      <c r="D1722" s="22" t="n"/>
      <c r="E1722" s="22">
        <f>IFERROR(+VLOOKUP(C1722,Master!B:C,2,0),"")</f>
        <v/>
      </c>
      <c r="F1722" s="23">
        <f>LOOKUP(2,1/((Purchase!$D$1:$D$500=C1722)*(Purchase!$A$1:$A$500&lt;=A1722)),Purchase!$G$1:$G$500)</f>
        <v/>
      </c>
      <c r="G1722" s="23">
        <f>+D1722*F1722</f>
        <v/>
      </c>
    </row>
    <row r="1723">
      <c r="A1723" s="8" t="n"/>
      <c r="B1723" s="8" t="n"/>
      <c r="C1723" s="21" t="n"/>
      <c r="D1723" s="22" t="n"/>
      <c r="E1723" s="22">
        <f>IFERROR(+VLOOKUP(C1723,Master!B:C,2,0),"")</f>
        <v/>
      </c>
      <c r="F1723" s="23">
        <f>LOOKUP(2,1/((Purchase!$D$1:$D$500=C1723)*(Purchase!$A$1:$A$500&lt;=A1723)),Purchase!$G$1:$G$500)</f>
        <v/>
      </c>
      <c r="G1723" s="23">
        <f>+D1723*F1723</f>
        <v/>
      </c>
    </row>
    <row r="1724">
      <c r="A1724" s="8" t="n"/>
      <c r="B1724" s="8" t="n"/>
      <c r="C1724" s="21" t="n"/>
      <c r="D1724" s="22" t="n"/>
      <c r="E1724" s="22">
        <f>IFERROR(+VLOOKUP(C1724,Master!B:C,2,0),"")</f>
        <v/>
      </c>
      <c r="F1724" s="23">
        <f>LOOKUP(2,1/((Purchase!$D$1:$D$500=C1724)*(Purchase!$A$1:$A$500&lt;=A1724)),Purchase!$G$1:$G$500)</f>
        <v/>
      </c>
      <c r="G1724" s="23">
        <f>+D1724*F1724</f>
        <v/>
      </c>
    </row>
    <row r="1725">
      <c r="A1725" s="8" t="n"/>
      <c r="B1725" s="8" t="n"/>
      <c r="C1725" s="21" t="n"/>
      <c r="D1725" s="22" t="n"/>
      <c r="E1725" s="22">
        <f>IFERROR(+VLOOKUP(C1725,Master!B:C,2,0),"")</f>
        <v/>
      </c>
      <c r="F1725" s="23">
        <f>LOOKUP(2,1/((Purchase!$D$1:$D$500=C1725)*(Purchase!$A$1:$A$500&lt;=A1725)),Purchase!$G$1:$G$500)</f>
        <v/>
      </c>
      <c r="G1725" s="23">
        <f>+D1725*F1725</f>
        <v/>
      </c>
    </row>
    <row r="1726">
      <c r="A1726" s="8" t="n"/>
      <c r="B1726" s="8" t="n"/>
      <c r="C1726" s="21" t="n"/>
      <c r="D1726" s="22" t="n"/>
      <c r="E1726" s="22">
        <f>IFERROR(+VLOOKUP(C1726,Master!B:C,2,0),"")</f>
        <v/>
      </c>
      <c r="F1726" s="23">
        <f>LOOKUP(2,1/((Purchase!$D$1:$D$500=C1726)*(Purchase!$A$1:$A$500&lt;=A1726)),Purchase!$G$1:$G$500)</f>
        <v/>
      </c>
      <c r="G1726" s="23">
        <f>+D1726*F1726</f>
        <v/>
      </c>
    </row>
    <row r="1727">
      <c r="A1727" s="8" t="n"/>
      <c r="B1727" s="8" t="n"/>
      <c r="C1727" s="21" t="n"/>
      <c r="D1727" s="22" t="n"/>
      <c r="E1727" s="22">
        <f>IFERROR(+VLOOKUP(C1727,Master!B:C,2,0),"")</f>
        <v/>
      </c>
      <c r="F1727" s="23">
        <f>LOOKUP(2,1/((Purchase!$D$1:$D$500=C1727)*(Purchase!$A$1:$A$500&lt;=A1727)),Purchase!$G$1:$G$500)</f>
        <v/>
      </c>
      <c r="G1727" s="23">
        <f>+D1727*F1727</f>
        <v/>
      </c>
    </row>
    <row r="1728">
      <c r="A1728" s="8" t="n"/>
      <c r="B1728" s="8" t="n"/>
      <c r="C1728" s="21" t="n"/>
      <c r="D1728" s="22" t="n"/>
      <c r="E1728" s="22">
        <f>IFERROR(+VLOOKUP(C1728,Master!B:C,2,0),"")</f>
        <v/>
      </c>
      <c r="F1728" s="23">
        <f>LOOKUP(2,1/((Purchase!$D$1:$D$500=C1728)*(Purchase!$A$1:$A$500&lt;=A1728)),Purchase!$G$1:$G$500)</f>
        <v/>
      </c>
      <c r="G1728" s="23">
        <f>+D1728*F1728</f>
        <v/>
      </c>
    </row>
    <row r="1729">
      <c r="A1729" s="8" t="n"/>
      <c r="B1729" s="8" t="n"/>
      <c r="C1729" s="21" t="n"/>
      <c r="D1729" s="22" t="n"/>
      <c r="E1729" s="22">
        <f>IFERROR(+VLOOKUP(C1729,Master!B:C,2,0),"")</f>
        <v/>
      </c>
      <c r="F1729" s="23">
        <f>LOOKUP(2,1/((Purchase!$D$1:$D$500=C1729)*(Purchase!$A$1:$A$500&lt;=A1729)),Purchase!$G$1:$G$500)</f>
        <v/>
      </c>
      <c r="G1729" s="23">
        <f>+D1729*F1729</f>
        <v/>
      </c>
    </row>
    <row r="1730">
      <c r="A1730" s="8" t="n"/>
      <c r="B1730" s="8" t="n"/>
      <c r="C1730" s="21" t="n"/>
      <c r="D1730" s="22" t="n"/>
      <c r="E1730" s="22">
        <f>IFERROR(+VLOOKUP(C1730,Master!B:C,2,0),"")</f>
        <v/>
      </c>
      <c r="F1730" s="23">
        <f>LOOKUP(2,1/((Purchase!$D$1:$D$500=C1730)*(Purchase!$A$1:$A$500&lt;=A1730)),Purchase!$G$1:$G$500)</f>
        <v/>
      </c>
      <c r="G1730" s="23">
        <f>+D1730*F1730</f>
        <v/>
      </c>
    </row>
    <row r="1731">
      <c r="A1731" s="8" t="n"/>
      <c r="B1731" s="8" t="n"/>
      <c r="C1731" s="21" t="n"/>
      <c r="D1731" s="22" t="n"/>
      <c r="E1731" s="22">
        <f>IFERROR(+VLOOKUP(C1731,Master!B:C,2,0),"")</f>
        <v/>
      </c>
      <c r="F1731" s="23">
        <f>LOOKUP(2,1/((Purchase!$D$1:$D$500=C1731)*(Purchase!$A$1:$A$500&lt;=A1731)),Purchase!$G$1:$G$500)</f>
        <v/>
      </c>
      <c r="G1731" s="23">
        <f>+D1731*F1731</f>
        <v/>
      </c>
    </row>
    <row r="1732">
      <c r="A1732" s="8" t="n"/>
      <c r="B1732" s="8" t="n"/>
      <c r="C1732" s="21" t="n"/>
      <c r="D1732" s="22" t="n"/>
      <c r="E1732" s="22">
        <f>IFERROR(+VLOOKUP(C1732,Master!B:C,2,0),"")</f>
        <v/>
      </c>
      <c r="F1732" s="23">
        <f>LOOKUP(2,1/((Purchase!$D$1:$D$500=C1732)*(Purchase!$A$1:$A$500&lt;=A1732)),Purchase!$G$1:$G$500)</f>
        <v/>
      </c>
      <c r="G1732" s="23">
        <f>+D1732*F1732</f>
        <v/>
      </c>
    </row>
    <row r="1733">
      <c r="A1733" s="8" t="n"/>
      <c r="B1733" s="8" t="n"/>
      <c r="C1733" s="21" t="n"/>
      <c r="D1733" s="22" t="n"/>
      <c r="E1733" s="22">
        <f>IFERROR(+VLOOKUP(C1733,Master!B:C,2,0),"")</f>
        <v/>
      </c>
      <c r="F1733" s="23">
        <f>LOOKUP(2,1/((Purchase!$D$1:$D$500=C1733)*(Purchase!$A$1:$A$500&lt;=A1733)),Purchase!$G$1:$G$500)</f>
        <v/>
      </c>
      <c r="G1733" s="23">
        <f>+D1733*F1733</f>
        <v/>
      </c>
    </row>
    <row r="1734">
      <c r="A1734" s="8" t="n"/>
      <c r="B1734" s="8" t="n"/>
      <c r="C1734" s="21" t="n"/>
      <c r="D1734" s="22" t="n"/>
      <c r="E1734" s="22">
        <f>IFERROR(+VLOOKUP(C1734,Master!B:C,2,0),"")</f>
        <v/>
      </c>
      <c r="F1734" s="23">
        <f>LOOKUP(2,1/((Purchase!$D$1:$D$500=C1734)*(Purchase!$A$1:$A$500&lt;=A1734)),Purchase!$G$1:$G$500)</f>
        <v/>
      </c>
      <c r="G1734" s="23">
        <f>+D1734*F1734</f>
        <v/>
      </c>
    </row>
    <row r="1735">
      <c r="A1735" s="8" t="n"/>
      <c r="B1735" s="8" t="n"/>
      <c r="C1735" s="21" t="n"/>
      <c r="D1735" s="22" t="n"/>
      <c r="E1735" s="22">
        <f>IFERROR(+VLOOKUP(C1735,Master!B:C,2,0),"")</f>
        <v/>
      </c>
      <c r="F1735" s="23">
        <f>LOOKUP(2,1/((Purchase!$D$1:$D$500=C1735)*(Purchase!$A$1:$A$500&lt;=A1735)),Purchase!$G$1:$G$500)</f>
        <v/>
      </c>
      <c r="G1735" s="23">
        <f>+D1735*F1735</f>
        <v/>
      </c>
    </row>
    <row r="1736">
      <c r="A1736" s="8" t="n"/>
      <c r="B1736" s="8" t="n"/>
      <c r="C1736" s="21" t="n"/>
      <c r="D1736" s="22" t="n"/>
      <c r="E1736" s="22">
        <f>IFERROR(+VLOOKUP(C1736,Master!B:C,2,0),"")</f>
        <v/>
      </c>
      <c r="F1736" s="23">
        <f>LOOKUP(2,1/((Purchase!$D$1:$D$500=C1736)*(Purchase!$A$1:$A$500&lt;=A1736)),Purchase!$G$1:$G$500)</f>
        <v/>
      </c>
      <c r="G1736" s="23">
        <f>+D1736*F1736</f>
        <v/>
      </c>
    </row>
    <row r="1737">
      <c r="A1737" s="8" t="n"/>
      <c r="B1737" s="8" t="n"/>
      <c r="C1737" s="21" t="n"/>
      <c r="D1737" s="22" t="n"/>
      <c r="E1737" s="22">
        <f>IFERROR(+VLOOKUP(C1737,Master!B:C,2,0),"")</f>
        <v/>
      </c>
      <c r="F1737" s="23">
        <f>LOOKUP(2,1/((Purchase!$D$1:$D$500=C1737)*(Purchase!$A$1:$A$500&lt;=A1737)),Purchase!$G$1:$G$500)</f>
        <v/>
      </c>
      <c r="G1737" s="23">
        <f>+D1737*F1737</f>
        <v/>
      </c>
    </row>
    <row r="1738">
      <c r="A1738" s="8" t="n"/>
      <c r="B1738" s="8" t="n"/>
      <c r="C1738" s="21" t="n"/>
      <c r="D1738" s="22" t="n"/>
      <c r="E1738" s="22">
        <f>IFERROR(+VLOOKUP(C1738,Master!B:C,2,0),"")</f>
        <v/>
      </c>
      <c r="F1738" s="23">
        <f>LOOKUP(2,1/((Purchase!$D$1:$D$500=C1738)*(Purchase!$A$1:$A$500&lt;=A1738)),Purchase!$G$1:$G$500)</f>
        <v/>
      </c>
      <c r="G1738" s="23">
        <f>+D1738*F1738</f>
        <v/>
      </c>
    </row>
    <row r="1739">
      <c r="A1739" s="8" t="n"/>
      <c r="B1739" s="8" t="n"/>
      <c r="C1739" s="21" t="n"/>
      <c r="D1739" s="22" t="n"/>
      <c r="E1739" s="22">
        <f>IFERROR(+VLOOKUP(C1739,Master!B:C,2,0),"")</f>
        <v/>
      </c>
      <c r="F1739" s="23">
        <f>LOOKUP(2,1/((Purchase!$D$1:$D$500=C1739)*(Purchase!$A$1:$A$500&lt;=A1739)),Purchase!$G$1:$G$500)</f>
        <v/>
      </c>
      <c r="G1739" s="23">
        <f>+D1739*F1739</f>
        <v/>
      </c>
    </row>
    <row r="1740">
      <c r="A1740" s="8" t="n"/>
      <c r="B1740" s="8" t="n"/>
      <c r="C1740" s="21" t="n"/>
      <c r="D1740" s="22" t="n"/>
      <c r="E1740" s="22">
        <f>IFERROR(+VLOOKUP(C1740,Master!B:C,2,0),"")</f>
        <v/>
      </c>
      <c r="F1740" s="23">
        <f>LOOKUP(2,1/((Purchase!$D$1:$D$500=C1740)*(Purchase!$A$1:$A$500&lt;=A1740)),Purchase!$G$1:$G$500)</f>
        <v/>
      </c>
      <c r="G1740" s="23">
        <f>+D1740*F1740</f>
        <v/>
      </c>
    </row>
    <row r="1741">
      <c r="A1741" s="8" t="n"/>
      <c r="B1741" s="8" t="n"/>
      <c r="C1741" s="21" t="n"/>
      <c r="D1741" s="22" t="n"/>
      <c r="E1741" s="22">
        <f>IFERROR(+VLOOKUP(C1741,Master!B:C,2,0),"")</f>
        <v/>
      </c>
      <c r="F1741" s="23">
        <f>LOOKUP(2,1/((Purchase!$D$1:$D$500=C1741)*(Purchase!$A$1:$A$500&lt;=A1741)),Purchase!$G$1:$G$500)</f>
        <v/>
      </c>
      <c r="G1741" s="23">
        <f>+D1741*F1741</f>
        <v/>
      </c>
    </row>
    <row r="1742">
      <c r="A1742" s="8" t="n"/>
      <c r="B1742" s="8" t="n"/>
      <c r="C1742" s="21" t="n"/>
      <c r="D1742" s="22" t="n"/>
      <c r="E1742" s="22">
        <f>IFERROR(+VLOOKUP(C1742,Master!B:C,2,0),"")</f>
        <v/>
      </c>
      <c r="F1742" s="23">
        <f>LOOKUP(2,1/((Purchase!$D$1:$D$500=C1742)*(Purchase!$A$1:$A$500&lt;=A1742)),Purchase!$G$1:$G$500)</f>
        <v/>
      </c>
      <c r="G1742" s="23">
        <f>+D1742*F1742</f>
        <v/>
      </c>
    </row>
    <row r="1743">
      <c r="A1743" s="8" t="n"/>
      <c r="B1743" s="8" t="n"/>
      <c r="C1743" s="21" t="n"/>
      <c r="D1743" s="22" t="n"/>
      <c r="E1743" s="22">
        <f>IFERROR(+VLOOKUP(C1743,Master!B:C,2,0),"")</f>
        <v/>
      </c>
      <c r="F1743" s="23">
        <f>LOOKUP(2,1/((Purchase!$D$1:$D$500=C1743)*(Purchase!$A$1:$A$500&lt;=A1743)),Purchase!$G$1:$G$500)</f>
        <v/>
      </c>
      <c r="G1743" s="23">
        <f>+D1743*F1743</f>
        <v/>
      </c>
    </row>
    <row r="1744">
      <c r="A1744" s="8" t="n"/>
      <c r="B1744" s="8" t="n"/>
      <c r="C1744" s="21" t="n"/>
      <c r="D1744" s="22" t="n"/>
      <c r="E1744" s="22">
        <f>IFERROR(+VLOOKUP(C1744,Master!B:C,2,0),"")</f>
        <v/>
      </c>
      <c r="F1744" s="23">
        <f>LOOKUP(2,1/((Purchase!$D$1:$D$500=C1744)*(Purchase!$A$1:$A$500&lt;=A1744)),Purchase!$G$1:$G$500)</f>
        <v/>
      </c>
      <c r="G1744" s="23">
        <f>+D1744*F1744</f>
        <v/>
      </c>
    </row>
    <row r="1745">
      <c r="A1745" s="8" t="n"/>
      <c r="B1745" s="8" t="n"/>
      <c r="C1745" s="21" t="n"/>
      <c r="D1745" s="22" t="n"/>
      <c r="E1745" s="22">
        <f>IFERROR(+VLOOKUP(C1745,Master!B:C,2,0),"")</f>
        <v/>
      </c>
      <c r="F1745" s="23">
        <f>LOOKUP(2,1/((Purchase!$D$1:$D$500=C1745)*(Purchase!$A$1:$A$500&lt;=A1745)),Purchase!$G$1:$G$500)</f>
        <v/>
      </c>
      <c r="G1745" s="23">
        <f>+D1745*F1745</f>
        <v/>
      </c>
    </row>
    <row r="1746">
      <c r="A1746" s="8" t="n"/>
      <c r="B1746" s="8" t="n"/>
      <c r="C1746" s="21" t="n"/>
      <c r="D1746" s="22" t="n"/>
      <c r="E1746" s="22">
        <f>IFERROR(+VLOOKUP(C1746,Master!B:C,2,0),"")</f>
        <v/>
      </c>
      <c r="F1746" s="23">
        <f>LOOKUP(2,1/((Purchase!$D$1:$D$500=C1746)*(Purchase!$A$1:$A$500&lt;=A1746)),Purchase!$G$1:$G$500)</f>
        <v/>
      </c>
      <c r="G1746" s="23">
        <f>+D1746*F1746</f>
        <v/>
      </c>
    </row>
    <row r="1747">
      <c r="A1747" s="8" t="n"/>
      <c r="B1747" s="8" t="n"/>
      <c r="C1747" s="21" t="n"/>
      <c r="D1747" s="22" t="n"/>
      <c r="E1747" s="22">
        <f>IFERROR(+VLOOKUP(C1747,Master!B:C,2,0),"")</f>
        <v/>
      </c>
      <c r="F1747" s="23">
        <f>LOOKUP(2,1/((Purchase!$D$1:$D$500=C1747)*(Purchase!$A$1:$A$500&lt;=A1747)),Purchase!$G$1:$G$500)</f>
        <v/>
      </c>
      <c r="G1747" s="23">
        <f>+D1747*F1747</f>
        <v/>
      </c>
    </row>
    <row r="1748">
      <c r="A1748" s="8" t="n"/>
      <c r="B1748" s="8" t="n"/>
      <c r="C1748" s="21" t="n"/>
      <c r="D1748" s="22" t="n"/>
      <c r="E1748" s="22">
        <f>IFERROR(+VLOOKUP(C1748,Master!B:C,2,0),"")</f>
        <v/>
      </c>
      <c r="F1748" s="23">
        <f>LOOKUP(2,1/((Purchase!$D$1:$D$500=C1748)*(Purchase!$A$1:$A$500&lt;=A1748)),Purchase!$G$1:$G$500)</f>
        <v/>
      </c>
      <c r="G1748" s="23">
        <f>+D1748*F1748</f>
        <v/>
      </c>
    </row>
    <row r="1749">
      <c r="A1749" s="8" t="n"/>
      <c r="B1749" s="8" t="n"/>
      <c r="C1749" s="21" t="n"/>
      <c r="D1749" s="22" t="n"/>
      <c r="E1749" s="22">
        <f>IFERROR(+VLOOKUP(C1749,Master!B:C,2,0),"")</f>
        <v/>
      </c>
      <c r="F1749" s="23">
        <f>LOOKUP(2,1/((Purchase!$D$1:$D$500=C1749)*(Purchase!$A$1:$A$500&lt;=A1749)),Purchase!$G$1:$G$500)</f>
        <v/>
      </c>
      <c r="G1749" s="23">
        <f>+D1749*F1749</f>
        <v/>
      </c>
    </row>
    <row r="1750">
      <c r="A1750" s="8" t="n"/>
      <c r="B1750" s="8" t="n"/>
      <c r="C1750" s="21" t="n"/>
      <c r="D1750" s="22" t="n"/>
      <c r="E1750" s="22">
        <f>IFERROR(+VLOOKUP(C1750,Master!B:C,2,0),"")</f>
        <v/>
      </c>
      <c r="F1750" s="23">
        <f>LOOKUP(2,1/((Purchase!$D$1:$D$500=C1750)*(Purchase!$A$1:$A$500&lt;=A1750)),Purchase!$G$1:$G$500)</f>
        <v/>
      </c>
      <c r="G1750" s="23">
        <f>+D1750*F1750</f>
        <v/>
      </c>
    </row>
    <row r="1751">
      <c r="A1751" s="8" t="n"/>
      <c r="B1751" s="8" t="n"/>
      <c r="C1751" s="21" t="n"/>
      <c r="D1751" s="22" t="n"/>
      <c r="E1751" s="22">
        <f>IFERROR(+VLOOKUP(C1751,Master!B:C,2,0),"")</f>
        <v/>
      </c>
      <c r="F1751" s="23">
        <f>LOOKUP(2,1/((Purchase!$D$1:$D$500=C1751)*(Purchase!$A$1:$A$500&lt;=A1751)),Purchase!$G$1:$G$500)</f>
        <v/>
      </c>
      <c r="G1751" s="23">
        <f>+D1751*F1751</f>
        <v/>
      </c>
    </row>
    <row r="1752">
      <c r="A1752" s="8" t="n"/>
      <c r="B1752" s="8" t="n"/>
      <c r="C1752" s="21" t="n"/>
      <c r="D1752" s="22" t="n"/>
      <c r="E1752" s="22">
        <f>IFERROR(+VLOOKUP(C1752,Master!B:C,2,0),"")</f>
        <v/>
      </c>
      <c r="F1752" s="23">
        <f>LOOKUP(2,1/((Purchase!$D$1:$D$500=C1752)*(Purchase!$A$1:$A$500&lt;=A1752)),Purchase!$G$1:$G$500)</f>
        <v/>
      </c>
      <c r="G1752" s="23">
        <f>+D1752*F1752</f>
        <v/>
      </c>
    </row>
    <row r="1753">
      <c r="A1753" s="8" t="n"/>
      <c r="B1753" s="8" t="n"/>
      <c r="C1753" s="21" t="n"/>
      <c r="D1753" s="22" t="n"/>
      <c r="E1753" s="22">
        <f>IFERROR(+VLOOKUP(C1753,Master!B:C,2,0),"")</f>
        <v/>
      </c>
      <c r="F1753" s="23">
        <f>LOOKUP(2,1/((Purchase!$D$1:$D$500=C1753)*(Purchase!$A$1:$A$500&lt;=A1753)),Purchase!$G$1:$G$500)</f>
        <v/>
      </c>
      <c r="G1753" s="23">
        <f>+D1753*F1753</f>
        <v/>
      </c>
    </row>
    <row r="1754">
      <c r="A1754" s="8" t="n"/>
      <c r="B1754" s="8" t="n"/>
      <c r="C1754" s="21" t="n"/>
      <c r="D1754" s="22" t="n"/>
      <c r="E1754" s="22">
        <f>IFERROR(+VLOOKUP(C1754,Master!B:C,2,0),"")</f>
        <v/>
      </c>
      <c r="F1754" s="23">
        <f>LOOKUP(2,1/((Purchase!$D$1:$D$500=C1754)*(Purchase!$A$1:$A$500&lt;=A1754)),Purchase!$G$1:$G$500)</f>
        <v/>
      </c>
      <c r="G1754" s="23">
        <f>+D1754*F1754</f>
        <v/>
      </c>
    </row>
    <row r="1755">
      <c r="A1755" s="8" t="n"/>
      <c r="B1755" s="8" t="n"/>
      <c r="C1755" s="21" t="n"/>
      <c r="D1755" s="22" t="n"/>
      <c r="E1755" s="22">
        <f>IFERROR(+VLOOKUP(C1755,Master!B:C,2,0),"")</f>
        <v/>
      </c>
      <c r="F1755" s="23">
        <f>LOOKUP(2,1/((Purchase!$D$1:$D$500=C1755)*(Purchase!$A$1:$A$500&lt;=A1755)),Purchase!$G$1:$G$500)</f>
        <v/>
      </c>
      <c r="G1755" s="23">
        <f>+D1755*F1755</f>
        <v/>
      </c>
    </row>
    <row r="1756">
      <c r="A1756" s="8" t="n"/>
      <c r="B1756" s="8" t="n"/>
      <c r="C1756" s="21" t="n"/>
      <c r="D1756" s="22" t="n"/>
      <c r="E1756" s="22">
        <f>IFERROR(+VLOOKUP(C1756,Master!B:C,2,0),"")</f>
        <v/>
      </c>
      <c r="F1756" s="23">
        <f>LOOKUP(2,1/((Purchase!$D$1:$D$500=C1756)*(Purchase!$A$1:$A$500&lt;=A1756)),Purchase!$G$1:$G$500)</f>
        <v/>
      </c>
      <c r="G1756" s="23">
        <f>+D1756*F1756</f>
        <v/>
      </c>
    </row>
    <row r="1757">
      <c r="A1757" s="8" t="n"/>
      <c r="B1757" s="8" t="n"/>
      <c r="C1757" s="21" t="n"/>
      <c r="D1757" s="22" t="n"/>
      <c r="E1757" s="22">
        <f>IFERROR(+VLOOKUP(C1757,Master!B:C,2,0),"")</f>
        <v/>
      </c>
      <c r="F1757" s="23">
        <f>LOOKUP(2,1/((Purchase!$D$1:$D$500=C1757)*(Purchase!$A$1:$A$500&lt;=A1757)),Purchase!$G$1:$G$500)</f>
        <v/>
      </c>
      <c r="G1757" s="23">
        <f>+D1757*F1757</f>
        <v/>
      </c>
    </row>
    <row r="1758">
      <c r="A1758" s="8" t="n"/>
      <c r="B1758" s="8" t="n"/>
      <c r="C1758" s="21" t="n"/>
      <c r="D1758" s="22" t="n"/>
      <c r="E1758" s="22">
        <f>IFERROR(+VLOOKUP(C1758,Master!B:C,2,0),"")</f>
        <v/>
      </c>
      <c r="F1758" s="23">
        <f>LOOKUP(2,1/((Purchase!$D$1:$D$500=C1758)*(Purchase!$A$1:$A$500&lt;=A1758)),Purchase!$G$1:$G$500)</f>
        <v/>
      </c>
      <c r="G1758" s="23">
        <f>+D1758*F1758</f>
        <v/>
      </c>
    </row>
    <row r="1759">
      <c r="A1759" s="8" t="n"/>
      <c r="B1759" s="8" t="n"/>
      <c r="C1759" s="21" t="n"/>
      <c r="D1759" s="22" t="n"/>
      <c r="E1759" s="22">
        <f>IFERROR(+VLOOKUP(C1759,Master!B:C,2,0),"")</f>
        <v/>
      </c>
      <c r="F1759" s="23">
        <f>LOOKUP(2,1/((Purchase!$D$1:$D$500=C1759)*(Purchase!$A$1:$A$500&lt;=A1759)),Purchase!$G$1:$G$500)</f>
        <v/>
      </c>
      <c r="G1759" s="23">
        <f>+D1759*F1759</f>
        <v/>
      </c>
    </row>
    <row r="1760">
      <c r="A1760" s="8" t="n"/>
      <c r="B1760" s="8" t="n"/>
      <c r="C1760" s="21" t="n"/>
      <c r="D1760" s="22" t="n"/>
      <c r="E1760" s="22">
        <f>IFERROR(+VLOOKUP(C1760,Master!B:C,2,0),"")</f>
        <v/>
      </c>
      <c r="F1760" s="23">
        <f>LOOKUP(2,1/((Purchase!$D$1:$D$500=C1760)*(Purchase!$A$1:$A$500&lt;=A1760)),Purchase!$G$1:$G$500)</f>
        <v/>
      </c>
      <c r="G1760" s="23">
        <f>+D1760*F1760</f>
        <v/>
      </c>
    </row>
    <row r="1761">
      <c r="A1761" s="8" t="n"/>
      <c r="B1761" s="8" t="n"/>
      <c r="C1761" s="21" t="n"/>
      <c r="D1761" s="22" t="n"/>
      <c r="E1761" s="22">
        <f>IFERROR(+VLOOKUP(C1761,Master!B:C,2,0),"")</f>
        <v/>
      </c>
      <c r="F1761" s="23">
        <f>LOOKUP(2,1/((Purchase!$D$1:$D$500=C1761)*(Purchase!$A$1:$A$500&lt;=A1761)),Purchase!$G$1:$G$500)</f>
        <v/>
      </c>
      <c r="G1761" s="23">
        <f>+D1761*F1761</f>
        <v/>
      </c>
    </row>
    <row r="1762">
      <c r="A1762" s="8" t="n"/>
      <c r="B1762" s="8" t="n"/>
      <c r="C1762" s="21" t="n"/>
      <c r="D1762" s="22" t="n"/>
      <c r="E1762" s="22">
        <f>IFERROR(+VLOOKUP(C1762,Master!B:C,2,0),"")</f>
        <v/>
      </c>
      <c r="F1762" s="23">
        <f>LOOKUP(2,1/((Purchase!$D$1:$D$500=C1762)*(Purchase!$A$1:$A$500&lt;=A1762)),Purchase!$G$1:$G$500)</f>
        <v/>
      </c>
      <c r="G1762" s="23">
        <f>+D1762*F1762</f>
        <v/>
      </c>
    </row>
    <row r="1763">
      <c r="A1763" s="8" t="n"/>
      <c r="B1763" s="8" t="n"/>
      <c r="C1763" s="21" t="n"/>
      <c r="D1763" s="22" t="n"/>
      <c r="E1763" s="22">
        <f>IFERROR(+VLOOKUP(C1763,Master!B:C,2,0),"")</f>
        <v/>
      </c>
      <c r="F1763" s="23">
        <f>LOOKUP(2,1/((Purchase!$D$1:$D$500=C1763)*(Purchase!$A$1:$A$500&lt;=A1763)),Purchase!$G$1:$G$500)</f>
        <v/>
      </c>
      <c r="G1763" s="23">
        <f>+D1763*F1763</f>
        <v/>
      </c>
    </row>
    <row r="1764">
      <c r="A1764" s="8" t="n"/>
      <c r="B1764" s="8" t="n"/>
      <c r="C1764" s="21" t="n"/>
      <c r="D1764" s="22" t="n"/>
      <c r="E1764" s="22">
        <f>IFERROR(+VLOOKUP(C1764,Master!B:C,2,0),"")</f>
        <v/>
      </c>
      <c r="F1764" s="23">
        <f>LOOKUP(2,1/((Purchase!$D$1:$D$500=C1764)*(Purchase!$A$1:$A$500&lt;=A1764)),Purchase!$G$1:$G$500)</f>
        <v/>
      </c>
      <c r="G1764" s="23">
        <f>+D1764*F1764</f>
        <v/>
      </c>
    </row>
    <row r="1765">
      <c r="A1765" s="8" t="n"/>
      <c r="B1765" s="8" t="n"/>
      <c r="C1765" s="21" t="n"/>
      <c r="D1765" s="22" t="n"/>
      <c r="E1765" s="22">
        <f>IFERROR(+VLOOKUP(C1765,Master!B:C,2,0),"")</f>
        <v/>
      </c>
      <c r="F1765" s="23">
        <f>LOOKUP(2,1/((Purchase!$D$1:$D$500=C1765)*(Purchase!$A$1:$A$500&lt;=A1765)),Purchase!$G$1:$G$500)</f>
        <v/>
      </c>
      <c r="G1765" s="23">
        <f>+D1765*F1765</f>
        <v/>
      </c>
    </row>
    <row r="1766">
      <c r="A1766" s="8" t="n"/>
      <c r="B1766" s="8" t="n"/>
      <c r="C1766" s="21" t="n"/>
      <c r="D1766" s="22" t="n"/>
      <c r="E1766" s="22">
        <f>IFERROR(+VLOOKUP(C1766,Master!B:C,2,0),"")</f>
        <v/>
      </c>
      <c r="F1766" s="23">
        <f>LOOKUP(2,1/((Purchase!$D$1:$D$500=C1766)*(Purchase!$A$1:$A$500&lt;=A1766)),Purchase!$G$1:$G$500)</f>
        <v/>
      </c>
      <c r="G1766" s="23">
        <f>+D1766*F1766</f>
        <v/>
      </c>
    </row>
    <row r="1767">
      <c r="A1767" s="8" t="n"/>
      <c r="B1767" s="8" t="n"/>
      <c r="C1767" s="21" t="n"/>
      <c r="D1767" s="22" t="n"/>
      <c r="E1767" s="22">
        <f>IFERROR(+VLOOKUP(C1767,Master!B:C,2,0),"")</f>
        <v/>
      </c>
      <c r="F1767" s="23">
        <f>LOOKUP(2,1/((Purchase!$D$1:$D$500=C1767)*(Purchase!$A$1:$A$500&lt;=A1767)),Purchase!$G$1:$G$500)</f>
        <v/>
      </c>
      <c r="G1767" s="23">
        <f>+D1767*F1767</f>
        <v/>
      </c>
    </row>
    <row r="1768">
      <c r="A1768" s="8" t="n"/>
      <c r="B1768" s="8" t="n"/>
      <c r="C1768" s="21" t="n"/>
      <c r="D1768" s="22" t="n"/>
      <c r="E1768" s="22">
        <f>IFERROR(+VLOOKUP(C1768,Master!B:C,2,0),"")</f>
        <v/>
      </c>
      <c r="F1768" s="23">
        <f>LOOKUP(2,1/((Purchase!$D$1:$D$500=C1768)*(Purchase!$A$1:$A$500&lt;=A1768)),Purchase!$G$1:$G$500)</f>
        <v/>
      </c>
      <c r="G1768" s="23">
        <f>+D1768*F1768</f>
        <v/>
      </c>
    </row>
    <row r="1769">
      <c r="A1769" s="8" t="n"/>
      <c r="B1769" s="8" t="n"/>
      <c r="C1769" s="21" t="n"/>
      <c r="D1769" s="22" t="n"/>
      <c r="E1769" s="22">
        <f>IFERROR(+VLOOKUP(C1769,Master!B:C,2,0),"")</f>
        <v/>
      </c>
      <c r="F1769" s="23">
        <f>LOOKUP(2,1/((Purchase!$D$1:$D$500=C1769)*(Purchase!$A$1:$A$500&lt;=A1769)),Purchase!$G$1:$G$500)</f>
        <v/>
      </c>
      <c r="G1769" s="23">
        <f>+D1769*F1769</f>
        <v/>
      </c>
    </row>
    <row r="1770">
      <c r="A1770" s="8" t="n"/>
      <c r="B1770" s="8" t="n"/>
      <c r="C1770" s="21" t="n"/>
      <c r="D1770" s="22" t="n"/>
      <c r="E1770" s="22">
        <f>IFERROR(+VLOOKUP(C1770,Master!B:C,2,0),"")</f>
        <v/>
      </c>
      <c r="F1770" s="23">
        <f>LOOKUP(2,1/((Purchase!$D$1:$D$500=C1770)*(Purchase!$A$1:$A$500&lt;=A1770)),Purchase!$G$1:$G$500)</f>
        <v/>
      </c>
      <c r="G1770" s="23">
        <f>+D1770*F1770</f>
        <v/>
      </c>
    </row>
    <row r="1771">
      <c r="A1771" s="8" t="n"/>
      <c r="B1771" s="8" t="n"/>
      <c r="C1771" s="21" t="n"/>
      <c r="D1771" s="22" t="n"/>
      <c r="E1771" s="22">
        <f>IFERROR(+VLOOKUP(C1771,Master!B:C,2,0),"")</f>
        <v/>
      </c>
      <c r="F1771" s="23">
        <f>LOOKUP(2,1/((Purchase!$D$1:$D$500=C1771)*(Purchase!$A$1:$A$500&lt;=A1771)),Purchase!$G$1:$G$500)</f>
        <v/>
      </c>
      <c r="G1771" s="23">
        <f>+D1771*F1771</f>
        <v/>
      </c>
    </row>
    <row r="1772">
      <c r="A1772" s="8" t="n"/>
      <c r="B1772" s="8" t="n"/>
      <c r="C1772" s="21" t="n"/>
      <c r="D1772" s="22" t="n"/>
      <c r="E1772" s="22">
        <f>IFERROR(+VLOOKUP(C1772,Master!B:C,2,0),"")</f>
        <v/>
      </c>
      <c r="F1772" s="23">
        <f>LOOKUP(2,1/((Purchase!$D$1:$D$500=C1772)*(Purchase!$A$1:$A$500&lt;=A1772)),Purchase!$G$1:$G$500)</f>
        <v/>
      </c>
      <c r="G1772" s="23">
        <f>+D1772*F1772</f>
        <v/>
      </c>
    </row>
    <row r="1773">
      <c r="A1773" s="8" t="n"/>
      <c r="B1773" s="8" t="n"/>
      <c r="C1773" s="21" t="n"/>
      <c r="D1773" s="22" t="n"/>
      <c r="E1773" s="22">
        <f>IFERROR(+VLOOKUP(C1773,Master!B:C,2,0),"")</f>
        <v/>
      </c>
      <c r="F1773" s="23">
        <f>LOOKUP(2,1/((Purchase!$D$1:$D$500=C1773)*(Purchase!$A$1:$A$500&lt;=A1773)),Purchase!$G$1:$G$500)</f>
        <v/>
      </c>
      <c r="G1773" s="23">
        <f>+D1773*F1773</f>
        <v/>
      </c>
    </row>
    <row r="1774">
      <c r="A1774" s="8" t="n"/>
      <c r="B1774" s="8" t="n"/>
      <c r="C1774" s="21" t="n"/>
      <c r="D1774" s="22" t="n"/>
      <c r="E1774" s="22">
        <f>IFERROR(+VLOOKUP(C1774,Master!B:C,2,0),"")</f>
        <v/>
      </c>
      <c r="F1774" s="23">
        <f>LOOKUP(2,1/((Purchase!$D$1:$D$500=C1774)*(Purchase!$A$1:$A$500&lt;=A1774)),Purchase!$G$1:$G$500)</f>
        <v/>
      </c>
      <c r="G1774" s="23">
        <f>+D1774*F1774</f>
        <v/>
      </c>
    </row>
    <row r="1775">
      <c r="A1775" s="8" t="n"/>
      <c r="B1775" s="8" t="n"/>
      <c r="C1775" s="21" t="n"/>
      <c r="D1775" s="22" t="n"/>
      <c r="E1775" s="22">
        <f>IFERROR(+VLOOKUP(C1775,Master!B:C,2,0),"")</f>
        <v/>
      </c>
      <c r="F1775" s="23">
        <f>LOOKUP(2,1/((Purchase!$D$1:$D$500=C1775)*(Purchase!$A$1:$A$500&lt;=A1775)),Purchase!$G$1:$G$500)</f>
        <v/>
      </c>
      <c r="G1775" s="23">
        <f>+D1775*F1775</f>
        <v/>
      </c>
    </row>
    <row r="1776">
      <c r="A1776" s="8" t="n"/>
      <c r="B1776" s="8" t="n"/>
      <c r="C1776" s="21" t="n"/>
      <c r="D1776" s="22" t="n"/>
      <c r="E1776" s="22">
        <f>IFERROR(+VLOOKUP(C1776,Master!B:C,2,0),"")</f>
        <v/>
      </c>
      <c r="F1776" s="23">
        <f>LOOKUP(2,1/((Purchase!$D$1:$D$500=C1776)*(Purchase!$A$1:$A$500&lt;=A1776)),Purchase!$G$1:$G$500)</f>
        <v/>
      </c>
      <c r="G1776" s="23">
        <f>+D1776*F1776</f>
        <v/>
      </c>
    </row>
    <row r="1777">
      <c r="A1777" s="8" t="n"/>
      <c r="B1777" s="8" t="n"/>
      <c r="C1777" s="21" t="n"/>
      <c r="D1777" s="22" t="n"/>
      <c r="E1777" s="22">
        <f>IFERROR(+VLOOKUP(C1777,Master!B:C,2,0),"")</f>
        <v/>
      </c>
      <c r="F1777" s="23">
        <f>LOOKUP(2,1/((Purchase!$D$1:$D$500=C1777)*(Purchase!$A$1:$A$500&lt;=A1777)),Purchase!$G$1:$G$500)</f>
        <v/>
      </c>
      <c r="G1777" s="23">
        <f>+D1777*F1777</f>
        <v/>
      </c>
    </row>
    <row r="1778">
      <c r="A1778" s="8" t="n"/>
      <c r="B1778" s="8" t="n"/>
      <c r="C1778" s="21" t="n"/>
      <c r="D1778" s="22" t="n"/>
      <c r="E1778" s="22">
        <f>IFERROR(+VLOOKUP(C1778,Master!B:C,2,0),"")</f>
        <v/>
      </c>
      <c r="F1778" s="23">
        <f>LOOKUP(2,1/((Purchase!$D$1:$D$500=C1778)*(Purchase!$A$1:$A$500&lt;=A1778)),Purchase!$G$1:$G$500)</f>
        <v/>
      </c>
      <c r="G1778" s="23">
        <f>+D1778*F1778</f>
        <v/>
      </c>
    </row>
    <row r="1779">
      <c r="A1779" s="8" t="n"/>
      <c r="B1779" s="8" t="n"/>
      <c r="C1779" s="21" t="n"/>
      <c r="D1779" s="22" t="n"/>
      <c r="E1779" s="22">
        <f>IFERROR(+VLOOKUP(C1779,Master!B:C,2,0),"")</f>
        <v/>
      </c>
      <c r="F1779" s="23">
        <f>LOOKUP(2,1/((Purchase!$D$1:$D$500=C1779)*(Purchase!$A$1:$A$500&lt;=A1779)),Purchase!$G$1:$G$500)</f>
        <v/>
      </c>
      <c r="G1779" s="23">
        <f>+D1779*F1779</f>
        <v/>
      </c>
    </row>
    <row r="1780">
      <c r="A1780" s="8" t="n"/>
      <c r="B1780" s="8" t="n"/>
      <c r="C1780" s="21" t="n"/>
      <c r="D1780" s="22" t="n"/>
      <c r="E1780" s="22">
        <f>IFERROR(+VLOOKUP(C1780,Master!B:C,2,0),"")</f>
        <v/>
      </c>
      <c r="F1780" s="23">
        <f>LOOKUP(2,1/((Purchase!$D$1:$D$500=C1780)*(Purchase!$A$1:$A$500&lt;=A1780)),Purchase!$G$1:$G$500)</f>
        <v/>
      </c>
      <c r="G1780" s="23">
        <f>+D1780*F1780</f>
        <v/>
      </c>
    </row>
    <row r="1781">
      <c r="A1781" s="8" t="n"/>
      <c r="B1781" s="8" t="n"/>
      <c r="C1781" s="21" t="n"/>
      <c r="D1781" s="22" t="n"/>
      <c r="E1781" s="22">
        <f>IFERROR(+VLOOKUP(C1781,Master!B:C,2,0),"")</f>
        <v/>
      </c>
      <c r="F1781" s="23">
        <f>LOOKUP(2,1/((Purchase!$D$1:$D$500=C1781)*(Purchase!$A$1:$A$500&lt;=A1781)),Purchase!$G$1:$G$500)</f>
        <v/>
      </c>
      <c r="G1781" s="23">
        <f>+D1781*F1781</f>
        <v/>
      </c>
    </row>
    <row r="1782">
      <c r="A1782" s="8" t="n"/>
      <c r="B1782" s="8" t="n"/>
      <c r="C1782" s="21" t="n"/>
      <c r="D1782" s="22" t="n"/>
      <c r="E1782" s="22">
        <f>IFERROR(+VLOOKUP(C1782,Master!B:C,2,0),"")</f>
        <v/>
      </c>
      <c r="F1782" s="23">
        <f>LOOKUP(2,1/((Purchase!$D$1:$D$500=C1782)*(Purchase!$A$1:$A$500&lt;=A1782)),Purchase!$G$1:$G$500)</f>
        <v/>
      </c>
      <c r="G1782" s="23">
        <f>+D1782*F1782</f>
        <v/>
      </c>
    </row>
    <row r="1783">
      <c r="A1783" s="8" t="n"/>
      <c r="B1783" s="8" t="n"/>
      <c r="C1783" s="21" t="n"/>
      <c r="D1783" s="22" t="n"/>
      <c r="E1783" s="22">
        <f>IFERROR(+VLOOKUP(C1783,Master!B:C,2,0),"")</f>
        <v/>
      </c>
      <c r="F1783" s="23">
        <f>LOOKUP(2,1/((Purchase!$D$1:$D$500=C1783)*(Purchase!$A$1:$A$500&lt;=A1783)),Purchase!$G$1:$G$500)</f>
        <v/>
      </c>
      <c r="G1783" s="23">
        <f>+D1783*F1783</f>
        <v/>
      </c>
    </row>
    <row r="1784">
      <c r="A1784" s="8" t="n"/>
      <c r="B1784" s="8" t="n"/>
      <c r="C1784" s="21" t="n"/>
      <c r="D1784" s="22" t="n"/>
      <c r="E1784" s="22">
        <f>IFERROR(+VLOOKUP(C1784,Master!B:C,2,0),"")</f>
        <v/>
      </c>
      <c r="F1784" s="23">
        <f>LOOKUP(2,1/((Purchase!$D$1:$D$500=C1784)*(Purchase!$A$1:$A$500&lt;=A1784)),Purchase!$G$1:$G$500)</f>
        <v/>
      </c>
      <c r="G1784" s="23">
        <f>+D1784*F1784</f>
        <v/>
      </c>
    </row>
    <row r="1785">
      <c r="A1785" s="8" t="n"/>
      <c r="B1785" s="8" t="n"/>
      <c r="C1785" s="21" t="n"/>
      <c r="D1785" s="22" t="n"/>
      <c r="E1785" s="22">
        <f>IFERROR(+VLOOKUP(C1785,Master!B:C,2,0),"")</f>
        <v/>
      </c>
      <c r="F1785" s="23">
        <f>LOOKUP(2,1/((Purchase!$D$1:$D$500=C1785)*(Purchase!$A$1:$A$500&lt;=A1785)),Purchase!$G$1:$G$500)</f>
        <v/>
      </c>
      <c r="G1785" s="23">
        <f>+D1785*F1785</f>
        <v/>
      </c>
    </row>
    <row r="1786">
      <c r="A1786" s="8" t="n"/>
      <c r="B1786" s="8" t="n"/>
      <c r="C1786" s="21" t="n"/>
      <c r="D1786" s="22" t="n"/>
      <c r="E1786" s="22">
        <f>IFERROR(+VLOOKUP(C1786,Master!B:C,2,0),"")</f>
        <v/>
      </c>
      <c r="F1786" s="23">
        <f>LOOKUP(2,1/((Purchase!$D$1:$D$500=C1786)*(Purchase!$A$1:$A$500&lt;=A1786)),Purchase!$G$1:$G$500)</f>
        <v/>
      </c>
      <c r="G1786" s="23">
        <f>+D1786*F1786</f>
        <v/>
      </c>
    </row>
    <row r="1787">
      <c r="A1787" s="8" t="n"/>
      <c r="B1787" s="8" t="n"/>
      <c r="C1787" s="21" t="n"/>
      <c r="D1787" s="22" t="n"/>
      <c r="E1787" s="22">
        <f>IFERROR(+VLOOKUP(C1787,Master!B:C,2,0),"")</f>
        <v/>
      </c>
      <c r="F1787" s="23">
        <f>LOOKUP(2,1/((Purchase!$D$1:$D$500=C1787)*(Purchase!$A$1:$A$500&lt;=A1787)),Purchase!$G$1:$G$500)</f>
        <v/>
      </c>
      <c r="G1787" s="23">
        <f>+D1787*F1787</f>
        <v/>
      </c>
    </row>
    <row r="1788">
      <c r="A1788" s="8" t="n"/>
      <c r="B1788" s="8" t="n"/>
      <c r="C1788" s="21" t="n"/>
      <c r="D1788" s="22" t="n"/>
      <c r="E1788" s="22">
        <f>IFERROR(+VLOOKUP(C1788,Master!B:C,2,0),"")</f>
        <v/>
      </c>
      <c r="F1788" s="23">
        <f>LOOKUP(2,1/((Purchase!$D$1:$D$500=C1788)*(Purchase!$A$1:$A$500&lt;=A1788)),Purchase!$G$1:$G$500)</f>
        <v/>
      </c>
      <c r="G1788" s="23">
        <f>+D1788*F1788</f>
        <v/>
      </c>
    </row>
    <row r="1789">
      <c r="A1789" s="8" t="n"/>
      <c r="B1789" s="8" t="n"/>
      <c r="C1789" s="21" t="n"/>
      <c r="D1789" s="22" t="n"/>
      <c r="E1789" s="22">
        <f>IFERROR(+VLOOKUP(C1789,Master!B:C,2,0),"")</f>
        <v/>
      </c>
      <c r="F1789" s="23">
        <f>LOOKUP(2,1/((Purchase!$D$1:$D$500=C1789)*(Purchase!$A$1:$A$500&lt;=A1789)),Purchase!$G$1:$G$500)</f>
        <v/>
      </c>
      <c r="G1789" s="23">
        <f>+D1789*F1789</f>
        <v/>
      </c>
    </row>
    <row r="1790">
      <c r="A1790" s="8" t="n"/>
      <c r="B1790" s="8" t="n"/>
      <c r="C1790" s="21" t="n"/>
      <c r="D1790" s="22" t="n"/>
      <c r="E1790" s="22">
        <f>IFERROR(+VLOOKUP(C1790,Master!B:C,2,0),"")</f>
        <v/>
      </c>
      <c r="F1790" s="23">
        <f>LOOKUP(2,1/((Purchase!$D$1:$D$500=C1790)*(Purchase!$A$1:$A$500&lt;=A1790)),Purchase!$G$1:$G$500)</f>
        <v/>
      </c>
      <c r="G1790" s="23">
        <f>+D1790*F1790</f>
        <v/>
      </c>
    </row>
    <row r="1791">
      <c r="A1791" s="8" t="n"/>
      <c r="B1791" s="8" t="n"/>
      <c r="C1791" s="21" t="n"/>
      <c r="D1791" s="22" t="n"/>
      <c r="E1791" s="22">
        <f>IFERROR(+VLOOKUP(C1791,Master!B:C,2,0),"")</f>
        <v/>
      </c>
      <c r="F1791" s="23">
        <f>LOOKUP(2,1/((Purchase!$D$1:$D$500=C1791)*(Purchase!$A$1:$A$500&lt;=A1791)),Purchase!$G$1:$G$500)</f>
        <v/>
      </c>
      <c r="G1791" s="23">
        <f>+D1791*F1791</f>
        <v/>
      </c>
    </row>
    <row r="1792">
      <c r="A1792" s="8" t="n"/>
      <c r="B1792" s="8" t="n"/>
      <c r="C1792" s="21" t="n"/>
      <c r="D1792" s="22" t="n"/>
      <c r="E1792" s="22">
        <f>IFERROR(+VLOOKUP(C1792,Master!B:C,2,0),"")</f>
        <v/>
      </c>
      <c r="F1792" s="23">
        <f>LOOKUP(2,1/((Purchase!$D$1:$D$500=C1792)*(Purchase!$A$1:$A$500&lt;=A1792)),Purchase!$G$1:$G$500)</f>
        <v/>
      </c>
      <c r="G1792" s="23">
        <f>+D1792*F1792</f>
        <v/>
      </c>
    </row>
    <row r="1793">
      <c r="A1793" s="8" t="n"/>
      <c r="B1793" s="8" t="n"/>
      <c r="C1793" s="21" t="n"/>
      <c r="D1793" s="22" t="n"/>
      <c r="E1793" s="22">
        <f>IFERROR(+VLOOKUP(C1793,Master!B:C,2,0),"")</f>
        <v/>
      </c>
      <c r="F1793" s="23">
        <f>LOOKUP(2,1/((Purchase!$D$1:$D$500=C1793)*(Purchase!$A$1:$A$500&lt;=A1793)),Purchase!$G$1:$G$500)</f>
        <v/>
      </c>
      <c r="G1793" s="23">
        <f>+D1793*F1793</f>
        <v/>
      </c>
    </row>
    <row r="1794">
      <c r="A1794" s="8" t="n"/>
      <c r="B1794" s="8" t="n"/>
      <c r="C1794" s="21" t="n"/>
      <c r="D1794" s="22" t="n"/>
      <c r="E1794" s="22">
        <f>IFERROR(+VLOOKUP(C1794,Master!B:C,2,0),"")</f>
        <v/>
      </c>
      <c r="F1794" s="23">
        <f>LOOKUP(2,1/((Purchase!$D$1:$D$500=C1794)*(Purchase!$A$1:$A$500&lt;=A1794)),Purchase!$G$1:$G$500)</f>
        <v/>
      </c>
      <c r="G1794" s="23">
        <f>+D1794*F1794</f>
        <v/>
      </c>
    </row>
    <row r="1795">
      <c r="A1795" s="8" t="n"/>
      <c r="B1795" s="8" t="n"/>
      <c r="C1795" s="21" t="n"/>
      <c r="D1795" s="22" t="n"/>
      <c r="E1795" s="22">
        <f>IFERROR(+VLOOKUP(C1795,Master!B:C,2,0),"")</f>
        <v/>
      </c>
      <c r="F1795" s="23">
        <f>LOOKUP(2,1/((Purchase!$D$1:$D$500=C1795)*(Purchase!$A$1:$A$500&lt;=A1795)),Purchase!$G$1:$G$500)</f>
        <v/>
      </c>
      <c r="G1795" s="23">
        <f>+D1795*F1795</f>
        <v/>
      </c>
    </row>
    <row r="1796">
      <c r="A1796" s="8" t="n"/>
      <c r="B1796" s="8" t="n"/>
      <c r="C1796" s="21" t="n"/>
      <c r="D1796" s="22" t="n"/>
      <c r="E1796" s="22">
        <f>IFERROR(+VLOOKUP(C1796,Master!B:C,2,0),"")</f>
        <v/>
      </c>
      <c r="F1796" s="23">
        <f>LOOKUP(2,1/((Purchase!$D$1:$D$500=C1796)*(Purchase!$A$1:$A$500&lt;=A1796)),Purchase!$G$1:$G$500)</f>
        <v/>
      </c>
      <c r="G1796" s="23">
        <f>+D1796*F1796</f>
        <v/>
      </c>
    </row>
    <row r="1797">
      <c r="A1797" s="8" t="n"/>
      <c r="B1797" s="8" t="n"/>
      <c r="C1797" s="21" t="n"/>
      <c r="D1797" s="22" t="n"/>
      <c r="E1797" s="22">
        <f>IFERROR(+VLOOKUP(C1797,Master!B:C,2,0),"")</f>
        <v/>
      </c>
      <c r="F1797" s="23">
        <f>LOOKUP(2,1/((Purchase!$D$1:$D$500=C1797)*(Purchase!$A$1:$A$500&lt;=A1797)),Purchase!$G$1:$G$500)</f>
        <v/>
      </c>
      <c r="G1797" s="23">
        <f>+D1797*F1797</f>
        <v/>
      </c>
    </row>
    <row r="1798">
      <c r="A1798" s="8" t="n"/>
      <c r="B1798" s="8" t="n"/>
      <c r="C1798" s="21" t="n"/>
      <c r="D1798" s="22" t="n"/>
      <c r="E1798" s="22">
        <f>IFERROR(+VLOOKUP(C1798,Master!B:C,2,0),"")</f>
        <v/>
      </c>
      <c r="F1798" s="23">
        <f>LOOKUP(2,1/((Purchase!$D$1:$D$500=C1798)*(Purchase!$A$1:$A$500&lt;=A1798)),Purchase!$G$1:$G$500)</f>
        <v/>
      </c>
      <c r="G1798" s="23">
        <f>+D1798*F1798</f>
        <v/>
      </c>
    </row>
    <row r="1799">
      <c r="A1799" s="8" t="n"/>
      <c r="B1799" s="8" t="n"/>
      <c r="C1799" s="21" t="n"/>
      <c r="D1799" s="22" t="n"/>
      <c r="E1799" s="22">
        <f>IFERROR(+VLOOKUP(C1799,Master!B:C,2,0),"")</f>
        <v/>
      </c>
      <c r="F1799" s="23">
        <f>LOOKUP(2,1/((Purchase!$D$1:$D$500=C1799)*(Purchase!$A$1:$A$500&lt;=A1799)),Purchase!$G$1:$G$500)</f>
        <v/>
      </c>
      <c r="G1799" s="23">
        <f>+D1799*F1799</f>
        <v/>
      </c>
    </row>
    <row r="1800">
      <c r="A1800" s="8" t="n"/>
      <c r="B1800" s="8" t="n"/>
      <c r="C1800" s="21" t="n"/>
      <c r="D1800" s="22" t="n"/>
      <c r="E1800" s="22">
        <f>IFERROR(+VLOOKUP(C1800,Master!B:C,2,0),"")</f>
        <v/>
      </c>
      <c r="F1800" s="23">
        <f>LOOKUP(2,1/((Purchase!$D$1:$D$500=C1800)*(Purchase!$A$1:$A$500&lt;=A1800)),Purchase!$G$1:$G$500)</f>
        <v/>
      </c>
      <c r="G1800" s="23">
        <f>+D1800*F1800</f>
        <v/>
      </c>
    </row>
    <row r="1801">
      <c r="A1801" s="8" t="n"/>
      <c r="B1801" s="8" t="n"/>
      <c r="C1801" s="21" t="n"/>
      <c r="D1801" s="22" t="n"/>
      <c r="E1801" s="22">
        <f>IFERROR(+VLOOKUP(C1801,Master!B:C,2,0),"")</f>
        <v/>
      </c>
      <c r="F1801" s="23">
        <f>LOOKUP(2,1/((Purchase!$D$1:$D$500=C1801)*(Purchase!$A$1:$A$500&lt;=A1801)),Purchase!$G$1:$G$500)</f>
        <v/>
      </c>
      <c r="G1801" s="23">
        <f>+D1801*F1801</f>
        <v/>
      </c>
    </row>
    <row r="1802">
      <c r="A1802" s="8" t="n"/>
      <c r="B1802" s="8" t="n"/>
      <c r="C1802" s="21" t="n"/>
      <c r="D1802" s="22" t="n"/>
      <c r="E1802" s="22">
        <f>IFERROR(+VLOOKUP(C1802,Master!B:C,2,0),"")</f>
        <v/>
      </c>
      <c r="F1802" s="23">
        <f>LOOKUP(2,1/((Purchase!$D$1:$D$500=C1802)*(Purchase!$A$1:$A$500&lt;=A1802)),Purchase!$G$1:$G$500)</f>
        <v/>
      </c>
      <c r="G1802" s="23">
        <f>+D1802*F1802</f>
        <v/>
      </c>
    </row>
    <row r="1803">
      <c r="A1803" s="8" t="n"/>
      <c r="B1803" s="8" t="n"/>
      <c r="C1803" s="21" t="n"/>
      <c r="D1803" s="22" t="n"/>
      <c r="E1803" s="22">
        <f>IFERROR(+VLOOKUP(C1803,Master!B:C,2,0),"")</f>
        <v/>
      </c>
      <c r="F1803" s="23">
        <f>LOOKUP(2,1/((Purchase!$D$1:$D$500=C1803)*(Purchase!$A$1:$A$500&lt;=A1803)),Purchase!$G$1:$G$500)</f>
        <v/>
      </c>
      <c r="G1803" s="23">
        <f>+D1803*F1803</f>
        <v/>
      </c>
    </row>
    <row r="1804">
      <c r="A1804" s="8" t="n"/>
      <c r="B1804" s="8" t="n"/>
      <c r="C1804" s="21" t="n"/>
      <c r="D1804" s="22" t="n"/>
      <c r="E1804" s="22">
        <f>IFERROR(+VLOOKUP(C1804,Master!B:C,2,0),"")</f>
        <v/>
      </c>
      <c r="F1804" s="23">
        <f>LOOKUP(2,1/((Purchase!$D$1:$D$500=C1804)*(Purchase!$A$1:$A$500&lt;=A1804)),Purchase!$G$1:$G$500)</f>
        <v/>
      </c>
      <c r="G1804" s="23">
        <f>+D1804*F1804</f>
        <v/>
      </c>
    </row>
    <row r="1805">
      <c r="A1805" s="8" t="n"/>
      <c r="B1805" s="8" t="n"/>
      <c r="C1805" s="21" t="n"/>
      <c r="D1805" s="22" t="n"/>
      <c r="E1805" s="22">
        <f>IFERROR(+VLOOKUP(C1805,Master!B:C,2,0),"")</f>
        <v/>
      </c>
      <c r="F1805" s="23">
        <f>LOOKUP(2,1/((Purchase!$D$1:$D$500=C1805)*(Purchase!$A$1:$A$500&lt;=A1805)),Purchase!$G$1:$G$500)</f>
        <v/>
      </c>
      <c r="G1805" s="23">
        <f>+D1805*F1805</f>
        <v/>
      </c>
    </row>
    <row r="1806">
      <c r="A1806" s="8" t="n"/>
      <c r="B1806" s="8" t="n"/>
      <c r="C1806" s="21" t="n"/>
      <c r="D1806" s="22" t="n"/>
      <c r="E1806" s="22">
        <f>IFERROR(+VLOOKUP(C1806,Master!B:C,2,0),"")</f>
        <v/>
      </c>
      <c r="F1806" s="23">
        <f>LOOKUP(2,1/((Purchase!$D$1:$D$500=C1806)*(Purchase!$A$1:$A$500&lt;=A1806)),Purchase!$G$1:$G$500)</f>
        <v/>
      </c>
      <c r="G1806" s="23">
        <f>+D1806*F1806</f>
        <v/>
      </c>
    </row>
    <row r="1807">
      <c r="A1807" s="8" t="n"/>
      <c r="B1807" s="8" t="n"/>
      <c r="C1807" s="21" t="n"/>
      <c r="D1807" s="22" t="n"/>
      <c r="E1807" s="22">
        <f>IFERROR(+VLOOKUP(C1807,Master!B:C,2,0),"")</f>
        <v/>
      </c>
      <c r="F1807" s="23">
        <f>LOOKUP(2,1/((Purchase!$D$1:$D$500=C1807)*(Purchase!$A$1:$A$500&lt;=A1807)),Purchase!$G$1:$G$500)</f>
        <v/>
      </c>
      <c r="G1807" s="23">
        <f>+D1807*F1807</f>
        <v/>
      </c>
    </row>
    <row r="1808">
      <c r="A1808" s="8" t="n"/>
      <c r="B1808" s="8" t="n"/>
      <c r="C1808" s="21" t="n"/>
      <c r="D1808" s="22" t="n"/>
      <c r="E1808" s="22">
        <f>IFERROR(+VLOOKUP(C1808,Master!B:C,2,0),"")</f>
        <v/>
      </c>
      <c r="F1808" s="23">
        <f>LOOKUP(2,1/((Purchase!$D$1:$D$500=C1808)*(Purchase!$A$1:$A$500&lt;=A1808)),Purchase!$G$1:$G$500)</f>
        <v/>
      </c>
      <c r="G1808" s="23">
        <f>+D1808*F1808</f>
        <v/>
      </c>
    </row>
    <row r="1809">
      <c r="A1809" s="8" t="n"/>
      <c r="B1809" s="8" t="n"/>
      <c r="C1809" s="21" t="n"/>
      <c r="D1809" s="22" t="n"/>
      <c r="E1809" s="22">
        <f>IFERROR(+VLOOKUP(C1809,Master!B:C,2,0),"")</f>
        <v/>
      </c>
      <c r="F1809" s="23">
        <f>LOOKUP(2,1/((Purchase!$D$1:$D$500=C1809)*(Purchase!$A$1:$A$500&lt;=A1809)),Purchase!$G$1:$G$500)</f>
        <v/>
      </c>
      <c r="G1809" s="23">
        <f>+D1809*F1809</f>
        <v/>
      </c>
    </row>
    <row r="1810">
      <c r="A1810" s="8" t="n"/>
      <c r="B1810" s="8" t="n"/>
      <c r="C1810" s="21" t="n"/>
      <c r="D1810" s="22" t="n"/>
      <c r="E1810" s="22">
        <f>IFERROR(+VLOOKUP(C1810,Master!B:C,2,0),"")</f>
        <v/>
      </c>
      <c r="F1810" s="23">
        <f>LOOKUP(2,1/((Purchase!$D$1:$D$500=C1810)*(Purchase!$A$1:$A$500&lt;=A1810)),Purchase!$G$1:$G$500)</f>
        <v/>
      </c>
      <c r="G1810" s="23">
        <f>+D1810*F1810</f>
        <v/>
      </c>
    </row>
    <row r="1811">
      <c r="A1811" s="8" t="n"/>
      <c r="B1811" s="8" t="n"/>
      <c r="C1811" s="21" t="n"/>
      <c r="D1811" s="22" t="n"/>
      <c r="E1811" s="22">
        <f>IFERROR(+VLOOKUP(C1811,Master!B:C,2,0),"")</f>
        <v/>
      </c>
      <c r="F1811" s="23">
        <f>LOOKUP(2,1/((Purchase!$D$1:$D$500=C1811)*(Purchase!$A$1:$A$500&lt;=A1811)),Purchase!$G$1:$G$500)</f>
        <v/>
      </c>
      <c r="G1811" s="23">
        <f>+D1811*F1811</f>
        <v/>
      </c>
    </row>
    <row r="1812">
      <c r="A1812" s="8" t="n"/>
      <c r="B1812" s="8" t="n"/>
      <c r="C1812" s="21" t="n"/>
      <c r="D1812" s="22" t="n"/>
      <c r="E1812" s="22">
        <f>IFERROR(+VLOOKUP(C1812,Master!B:C,2,0),"")</f>
        <v/>
      </c>
      <c r="F1812" s="23">
        <f>LOOKUP(2,1/((Purchase!$D$1:$D$500=C1812)*(Purchase!$A$1:$A$500&lt;=A1812)),Purchase!$G$1:$G$500)</f>
        <v/>
      </c>
      <c r="G1812" s="23">
        <f>+D1812*F1812</f>
        <v/>
      </c>
    </row>
    <row r="1813">
      <c r="A1813" s="8" t="n"/>
      <c r="B1813" s="8" t="n"/>
      <c r="C1813" s="21" t="n"/>
      <c r="D1813" s="22" t="n"/>
      <c r="E1813" s="22">
        <f>IFERROR(+VLOOKUP(C1813,Master!B:C,2,0),"")</f>
        <v/>
      </c>
      <c r="F1813" s="23">
        <f>LOOKUP(2,1/((Purchase!$D$1:$D$500=C1813)*(Purchase!$A$1:$A$500&lt;=A1813)),Purchase!$G$1:$G$500)</f>
        <v/>
      </c>
      <c r="G1813" s="23">
        <f>+D1813*F1813</f>
        <v/>
      </c>
    </row>
    <row r="1814">
      <c r="A1814" s="8" t="n"/>
      <c r="B1814" s="8" t="n"/>
      <c r="C1814" s="21" t="n"/>
      <c r="D1814" s="22" t="n"/>
      <c r="E1814" s="22">
        <f>IFERROR(+VLOOKUP(C1814,Master!B:C,2,0),"")</f>
        <v/>
      </c>
      <c r="F1814" s="23">
        <f>LOOKUP(2,1/((Purchase!$D$1:$D$500=C1814)*(Purchase!$A$1:$A$500&lt;=A1814)),Purchase!$G$1:$G$500)</f>
        <v/>
      </c>
      <c r="G1814" s="23">
        <f>+D1814*F1814</f>
        <v/>
      </c>
    </row>
    <row r="1815">
      <c r="A1815" s="8" t="n"/>
      <c r="B1815" s="8" t="n"/>
      <c r="C1815" s="21" t="n"/>
      <c r="D1815" s="22" t="n"/>
      <c r="E1815" s="22">
        <f>IFERROR(+VLOOKUP(C1815,Master!B:C,2,0),"")</f>
        <v/>
      </c>
      <c r="F1815" s="23">
        <f>LOOKUP(2,1/((Purchase!$D$1:$D$500=C1815)*(Purchase!$A$1:$A$500&lt;=A1815)),Purchase!$G$1:$G$500)</f>
        <v/>
      </c>
      <c r="G1815" s="23">
        <f>+D1815*F1815</f>
        <v/>
      </c>
    </row>
    <row r="1816">
      <c r="A1816" s="8" t="n"/>
      <c r="B1816" s="8" t="n"/>
      <c r="C1816" s="21" t="n"/>
      <c r="D1816" s="22" t="n"/>
      <c r="E1816" s="22">
        <f>IFERROR(+VLOOKUP(C1816,Master!B:C,2,0),"")</f>
        <v/>
      </c>
      <c r="F1816" s="23">
        <f>LOOKUP(2,1/((Purchase!$D$1:$D$500=C1816)*(Purchase!$A$1:$A$500&lt;=A1816)),Purchase!$G$1:$G$500)</f>
        <v/>
      </c>
      <c r="G1816" s="23">
        <f>+D1816*F1816</f>
        <v/>
      </c>
    </row>
    <row r="1817">
      <c r="A1817" s="8" t="n"/>
      <c r="B1817" s="8" t="n"/>
      <c r="C1817" s="21" t="n"/>
      <c r="D1817" s="22" t="n"/>
      <c r="E1817" s="22">
        <f>IFERROR(+VLOOKUP(C1817,Master!B:C,2,0),"")</f>
        <v/>
      </c>
      <c r="F1817" s="23">
        <f>LOOKUP(2,1/((Purchase!$D$1:$D$500=C1817)*(Purchase!$A$1:$A$500&lt;=A1817)),Purchase!$G$1:$G$500)</f>
        <v/>
      </c>
      <c r="G1817" s="23">
        <f>+D1817*F1817</f>
        <v/>
      </c>
    </row>
    <row r="1818">
      <c r="A1818" s="8" t="n"/>
      <c r="B1818" s="8" t="n"/>
      <c r="C1818" s="21" t="n"/>
      <c r="D1818" s="22" t="n"/>
      <c r="E1818" s="22">
        <f>IFERROR(+VLOOKUP(C1818,Master!B:C,2,0),"")</f>
        <v/>
      </c>
      <c r="F1818" s="23">
        <f>LOOKUP(2,1/((Purchase!$D$1:$D$500=C1818)*(Purchase!$A$1:$A$500&lt;=A1818)),Purchase!$G$1:$G$500)</f>
        <v/>
      </c>
      <c r="G1818" s="23">
        <f>+D1818*F1818</f>
        <v/>
      </c>
    </row>
    <row r="1819">
      <c r="A1819" s="8" t="n"/>
      <c r="B1819" s="8" t="n"/>
      <c r="C1819" s="21" t="n"/>
      <c r="D1819" s="22" t="n"/>
      <c r="E1819" s="22">
        <f>IFERROR(+VLOOKUP(C1819,Master!B:C,2,0),"")</f>
        <v/>
      </c>
      <c r="F1819" s="23">
        <f>LOOKUP(2,1/((Purchase!$D$1:$D$500=C1819)*(Purchase!$A$1:$A$500&lt;=A1819)),Purchase!$G$1:$G$500)</f>
        <v/>
      </c>
      <c r="G1819" s="23">
        <f>+D1819*F1819</f>
        <v/>
      </c>
    </row>
    <row r="1820">
      <c r="A1820" s="8" t="n"/>
      <c r="B1820" s="8" t="n"/>
      <c r="C1820" s="21" t="n"/>
      <c r="D1820" s="22" t="n"/>
      <c r="E1820" s="22">
        <f>IFERROR(+VLOOKUP(C1820,Master!B:C,2,0),"")</f>
        <v/>
      </c>
      <c r="F1820" s="23">
        <f>LOOKUP(2,1/((Purchase!$D$1:$D$500=C1820)*(Purchase!$A$1:$A$500&lt;=A1820)),Purchase!$G$1:$G$500)</f>
        <v/>
      </c>
      <c r="G1820" s="23">
        <f>+D1820*F1820</f>
        <v/>
      </c>
    </row>
    <row r="1821">
      <c r="A1821" s="8" t="n"/>
      <c r="B1821" s="8" t="n"/>
      <c r="C1821" s="21" t="n"/>
      <c r="D1821" s="22" t="n"/>
      <c r="E1821" s="22">
        <f>IFERROR(+VLOOKUP(C1821,Master!B:C,2,0),"")</f>
        <v/>
      </c>
      <c r="F1821" s="23">
        <f>LOOKUP(2,1/((Purchase!$D$1:$D$500=C1821)*(Purchase!$A$1:$A$500&lt;=A1821)),Purchase!$G$1:$G$500)</f>
        <v/>
      </c>
      <c r="G1821" s="23">
        <f>+D1821*F1821</f>
        <v/>
      </c>
    </row>
    <row r="1822">
      <c r="A1822" s="8" t="n"/>
      <c r="B1822" s="8" t="n"/>
      <c r="C1822" s="21" t="n"/>
      <c r="D1822" s="22" t="n"/>
      <c r="E1822" s="22">
        <f>IFERROR(+VLOOKUP(C1822,Master!B:C,2,0),"")</f>
        <v/>
      </c>
      <c r="F1822" s="23">
        <f>LOOKUP(2,1/((Purchase!$D$1:$D$500=C1822)*(Purchase!$A$1:$A$500&lt;=A1822)),Purchase!$G$1:$G$500)</f>
        <v/>
      </c>
      <c r="G1822" s="23">
        <f>+D1822*F1822</f>
        <v/>
      </c>
    </row>
    <row r="1823">
      <c r="A1823" s="8" t="n"/>
      <c r="B1823" s="8" t="n"/>
      <c r="C1823" s="21" t="n"/>
      <c r="D1823" s="22" t="n"/>
      <c r="E1823" s="22">
        <f>IFERROR(+VLOOKUP(C1823,Master!B:C,2,0),"")</f>
        <v/>
      </c>
      <c r="F1823" s="23">
        <f>LOOKUP(2,1/((Purchase!$D$1:$D$500=C1823)*(Purchase!$A$1:$A$500&lt;=A1823)),Purchase!$G$1:$G$500)</f>
        <v/>
      </c>
      <c r="G1823" s="23">
        <f>+D1823*F1823</f>
        <v/>
      </c>
    </row>
    <row r="1824">
      <c r="A1824" s="8" t="n"/>
      <c r="B1824" s="8" t="n"/>
      <c r="C1824" s="21" t="n"/>
      <c r="D1824" s="22" t="n"/>
      <c r="E1824" s="22">
        <f>IFERROR(+VLOOKUP(C1824,Master!B:C,2,0),"")</f>
        <v/>
      </c>
      <c r="F1824" s="23">
        <f>LOOKUP(2,1/((Purchase!$D$1:$D$500=C1824)*(Purchase!$A$1:$A$500&lt;=A1824)),Purchase!$G$1:$G$500)</f>
        <v/>
      </c>
      <c r="G1824" s="23">
        <f>+D1824*F1824</f>
        <v/>
      </c>
    </row>
    <row r="1825">
      <c r="A1825" s="8" t="n"/>
      <c r="B1825" s="8" t="n"/>
      <c r="C1825" s="21" t="n"/>
      <c r="D1825" s="22" t="n"/>
      <c r="E1825" s="22">
        <f>IFERROR(+VLOOKUP(C1825,Master!B:C,2,0),"")</f>
        <v/>
      </c>
      <c r="F1825" s="23">
        <f>LOOKUP(2,1/((Purchase!$D$1:$D$500=C1825)*(Purchase!$A$1:$A$500&lt;=A1825)),Purchase!$G$1:$G$500)</f>
        <v/>
      </c>
      <c r="G1825" s="23">
        <f>+D1825*F1825</f>
        <v/>
      </c>
    </row>
    <row r="1826">
      <c r="A1826" s="8" t="n"/>
      <c r="B1826" s="8" t="n"/>
      <c r="C1826" s="21" t="n"/>
      <c r="D1826" s="22" t="n"/>
      <c r="E1826" s="22">
        <f>IFERROR(+VLOOKUP(C1826,Master!B:C,2,0),"")</f>
        <v/>
      </c>
      <c r="F1826" s="23">
        <f>LOOKUP(2,1/((Purchase!$D$1:$D$500=C1826)*(Purchase!$A$1:$A$500&lt;=A1826)),Purchase!$G$1:$G$500)</f>
        <v/>
      </c>
      <c r="G1826" s="23">
        <f>+D1826*F1826</f>
        <v/>
      </c>
    </row>
    <row r="1827">
      <c r="A1827" s="8" t="n"/>
      <c r="B1827" s="8" t="n"/>
      <c r="C1827" s="21" t="n"/>
      <c r="D1827" s="22" t="n"/>
      <c r="E1827" s="22">
        <f>IFERROR(+VLOOKUP(C1827,Master!B:C,2,0),"")</f>
        <v/>
      </c>
      <c r="F1827" s="23">
        <f>LOOKUP(2,1/((Purchase!$D$1:$D$500=C1827)*(Purchase!$A$1:$A$500&lt;=A1827)),Purchase!$G$1:$G$500)</f>
        <v/>
      </c>
      <c r="G1827" s="23">
        <f>+D1827*F1827</f>
        <v/>
      </c>
    </row>
    <row r="1828">
      <c r="A1828" s="8" t="n"/>
      <c r="B1828" s="8" t="n"/>
      <c r="C1828" s="21" t="n"/>
      <c r="D1828" s="22" t="n"/>
      <c r="E1828" s="22">
        <f>IFERROR(+VLOOKUP(C1828,Master!B:C,2,0),"")</f>
        <v/>
      </c>
      <c r="F1828" s="23">
        <f>LOOKUP(2,1/((Purchase!$D$1:$D$500=C1828)*(Purchase!$A$1:$A$500&lt;=A1828)),Purchase!$G$1:$G$500)</f>
        <v/>
      </c>
      <c r="G1828" s="23">
        <f>+D1828*F1828</f>
        <v/>
      </c>
    </row>
    <row r="1829">
      <c r="A1829" s="8" t="n"/>
      <c r="B1829" s="8" t="n"/>
      <c r="C1829" s="21" t="n"/>
      <c r="D1829" s="22" t="n"/>
      <c r="E1829" s="22">
        <f>IFERROR(+VLOOKUP(C1829,Master!B:C,2,0),"")</f>
        <v/>
      </c>
      <c r="F1829" s="23">
        <f>LOOKUP(2,1/((Purchase!$D$1:$D$500=C1829)*(Purchase!$A$1:$A$500&lt;=A1829)),Purchase!$G$1:$G$500)</f>
        <v/>
      </c>
      <c r="G1829" s="23">
        <f>+D1829*F1829</f>
        <v/>
      </c>
    </row>
    <row r="1830">
      <c r="A1830" s="8" t="n"/>
      <c r="B1830" s="8" t="n"/>
      <c r="C1830" s="21" t="n"/>
      <c r="D1830" s="22" t="n"/>
      <c r="E1830" s="22">
        <f>IFERROR(+VLOOKUP(C1830,Master!B:C,2,0),"")</f>
        <v/>
      </c>
      <c r="F1830" s="23">
        <f>LOOKUP(2,1/((Purchase!$D$1:$D$500=C1830)*(Purchase!$A$1:$A$500&lt;=A1830)),Purchase!$G$1:$G$500)</f>
        <v/>
      </c>
      <c r="G1830" s="23">
        <f>+D1830*F1830</f>
        <v/>
      </c>
    </row>
    <row r="1831">
      <c r="A1831" s="8" t="n"/>
      <c r="B1831" s="8" t="n"/>
      <c r="C1831" s="21" t="n"/>
      <c r="D1831" s="22" t="n"/>
      <c r="E1831" s="22">
        <f>IFERROR(+VLOOKUP(C1831,Master!B:C,2,0),"")</f>
        <v/>
      </c>
      <c r="F1831" s="23">
        <f>LOOKUP(2,1/((Purchase!$D$1:$D$500=C1831)*(Purchase!$A$1:$A$500&lt;=A1831)),Purchase!$G$1:$G$500)</f>
        <v/>
      </c>
      <c r="G1831" s="23">
        <f>+D1831*F1831</f>
        <v/>
      </c>
    </row>
    <row r="1832">
      <c r="A1832" s="8" t="n"/>
      <c r="B1832" s="8" t="n"/>
      <c r="C1832" s="21" t="n"/>
      <c r="D1832" s="22" t="n"/>
      <c r="E1832" s="22">
        <f>IFERROR(+VLOOKUP(C1832,Master!B:C,2,0),"")</f>
        <v/>
      </c>
      <c r="F1832" s="23">
        <f>LOOKUP(2,1/((Purchase!$D$1:$D$500=C1832)*(Purchase!$A$1:$A$500&lt;=A1832)),Purchase!$G$1:$G$500)</f>
        <v/>
      </c>
      <c r="G1832" s="23">
        <f>+D1832*F1832</f>
        <v/>
      </c>
    </row>
    <row r="1833">
      <c r="A1833" s="8" t="n"/>
      <c r="B1833" s="8" t="n"/>
      <c r="C1833" s="21" t="n"/>
      <c r="D1833" s="22" t="n"/>
      <c r="E1833" s="22">
        <f>IFERROR(+VLOOKUP(C1833,Master!B:C,2,0),"")</f>
        <v/>
      </c>
      <c r="F1833" s="23">
        <f>LOOKUP(2,1/((Purchase!$D$1:$D$500=C1833)*(Purchase!$A$1:$A$500&lt;=A1833)),Purchase!$G$1:$G$500)</f>
        <v/>
      </c>
      <c r="G1833" s="23">
        <f>+D1833*F1833</f>
        <v/>
      </c>
    </row>
    <row r="1834">
      <c r="A1834" s="8" t="n"/>
      <c r="B1834" s="8" t="n"/>
      <c r="C1834" s="21" t="n"/>
      <c r="D1834" s="22" t="n"/>
      <c r="E1834" s="22">
        <f>IFERROR(+VLOOKUP(C1834,Master!B:C,2,0),"")</f>
        <v/>
      </c>
      <c r="F1834" s="23">
        <f>LOOKUP(2,1/((Purchase!$D$1:$D$500=C1834)*(Purchase!$A$1:$A$500&lt;=A1834)),Purchase!$G$1:$G$500)</f>
        <v/>
      </c>
      <c r="G1834" s="23">
        <f>+D1834*F1834</f>
        <v/>
      </c>
    </row>
    <row r="1835">
      <c r="A1835" s="8" t="n"/>
      <c r="B1835" s="8" t="n"/>
      <c r="C1835" s="21" t="n"/>
      <c r="D1835" s="22" t="n"/>
      <c r="E1835" s="22">
        <f>IFERROR(+VLOOKUP(C1835,Master!B:C,2,0),"")</f>
        <v/>
      </c>
      <c r="F1835" s="23">
        <f>LOOKUP(2,1/((Purchase!$D$1:$D$500=C1835)*(Purchase!$A$1:$A$500&lt;=A1835)),Purchase!$G$1:$G$500)</f>
        <v/>
      </c>
      <c r="G1835" s="23">
        <f>+D1835*F1835</f>
        <v/>
      </c>
    </row>
    <row r="1836">
      <c r="A1836" s="8" t="n"/>
      <c r="B1836" s="8" t="n"/>
      <c r="C1836" s="21" t="n"/>
      <c r="D1836" s="22" t="n"/>
      <c r="E1836" s="22">
        <f>IFERROR(+VLOOKUP(C1836,Master!B:C,2,0),"")</f>
        <v/>
      </c>
      <c r="F1836" s="23">
        <f>LOOKUP(2,1/((Purchase!$D$1:$D$500=C1836)*(Purchase!$A$1:$A$500&lt;=A1836)),Purchase!$G$1:$G$500)</f>
        <v/>
      </c>
      <c r="G1836" s="23">
        <f>+D1836*F1836</f>
        <v/>
      </c>
    </row>
    <row r="1837">
      <c r="A1837" s="8" t="n"/>
      <c r="B1837" s="8" t="n"/>
      <c r="C1837" s="21" t="n"/>
      <c r="D1837" s="22" t="n"/>
      <c r="E1837" s="22">
        <f>IFERROR(+VLOOKUP(C1837,Master!B:C,2,0),"")</f>
        <v/>
      </c>
      <c r="F1837" s="23">
        <f>LOOKUP(2,1/((Purchase!$D$1:$D$500=C1837)*(Purchase!$A$1:$A$500&lt;=A1837)),Purchase!$G$1:$G$500)</f>
        <v/>
      </c>
      <c r="G1837" s="23">
        <f>+D1837*F1837</f>
        <v/>
      </c>
    </row>
    <row r="1838">
      <c r="A1838" s="8" t="n"/>
      <c r="B1838" s="8" t="n"/>
      <c r="C1838" s="21" t="n"/>
      <c r="D1838" s="22" t="n"/>
      <c r="E1838" s="22">
        <f>IFERROR(+VLOOKUP(C1838,Master!B:C,2,0),"")</f>
        <v/>
      </c>
      <c r="F1838" s="23">
        <f>LOOKUP(2,1/((Purchase!$D$1:$D$500=C1838)*(Purchase!$A$1:$A$500&lt;=A1838)),Purchase!$G$1:$G$500)</f>
        <v/>
      </c>
      <c r="G1838" s="23">
        <f>+D1838*F1838</f>
        <v/>
      </c>
    </row>
    <row r="1839">
      <c r="A1839" s="8" t="n"/>
      <c r="B1839" s="8" t="n"/>
      <c r="C1839" s="21" t="n"/>
      <c r="D1839" s="22" t="n"/>
      <c r="E1839" s="22">
        <f>IFERROR(+VLOOKUP(C1839,Master!B:C,2,0),"")</f>
        <v/>
      </c>
      <c r="F1839" s="23">
        <f>LOOKUP(2,1/((Purchase!$D$1:$D$500=C1839)*(Purchase!$A$1:$A$500&lt;=A1839)),Purchase!$G$1:$G$500)</f>
        <v/>
      </c>
      <c r="G1839" s="23">
        <f>+D1839*F1839</f>
        <v/>
      </c>
    </row>
    <row r="1840">
      <c r="A1840" s="8" t="n"/>
      <c r="B1840" s="8" t="n"/>
      <c r="C1840" s="21" t="n"/>
      <c r="D1840" s="22" t="n"/>
      <c r="E1840" s="22">
        <f>IFERROR(+VLOOKUP(C1840,Master!B:C,2,0),"")</f>
        <v/>
      </c>
      <c r="F1840" s="23">
        <f>LOOKUP(2,1/((Purchase!$D$1:$D$500=C1840)*(Purchase!$A$1:$A$500&lt;=A1840)),Purchase!$G$1:$G$500)</f>
        <v/>
      </c>
      <c r="G1840" s="23">
        <f>+D1840*F1840</f>
        <v/>
      </c>
    </row>
    <row r="1841">
      <c r="A1841" s="8" t="n"/>
      <c r="B1841" s="8" t="n"/>
      <c r="C1841" s="21" t="n"/>
      <c r="D1841" s="22" t="n"/>
      <c r="E1841" s="22">
        <f>IFERROR(+VLOOKUP(C1841,Master!B:C,2,0),"")</f>
        <v/>
      </c>
      <c r="F1841" s="23">
        <f>LOOKUP(2,1/((Purchase!$D$1:$D$500=C1841)*(Purchase!$A$1:$A$500&lt;=A1841)),Purchase!$G$1:$G$500)</f>
        <v/>
      </c>
      <c r="G1841" s="23">
        <f>+D1841*F1841</f>
        <v/>
      </c>
    </row>
    <row r="1842">
      <c r="A1842" s="8" t="n"/>
      <c r="B1842" s="8" t="n"/>
      <c r="C1842" s="21" t="n"/>
      <c r="D1842" s="22" t="n"/>
      <c r="E1842" s="22">
        <f>IFERROR(+VLOOKUP(C1842,Master!B:C,2,0),"")</f>
        <v/>
      </c>
      <c r="F1842" s="23">
        <f>LOOKUP(2,1/((Purchase!$D$1:$D$500=C1842)*(Purchase!$A$1:$A$500&lt;=A1842)),Purchase!$G$1:$G$500)</f>
        <v/>
      </c>
      <c r="G1842" s="23">
        <f>+D1842*F1842</f>
        <v/>
      </c>
    </row>
    <row r="1843">
      <c r="A1843" s="8" t="n"/>
      <c r="B1843" s="8" t="n"/>
      <c r="C1843" s="21" t="n"/>
      <c r="D1843" s="22" t="n"/>
      <c r="E1843" s="22">
        <f>IFERROR(+VLOOKUP(C1843,Master!B:C,2,0),"")</f>
        <v/>
      </c>
      <c r="F1843" s="23">
        <f>LOOKUP(2,1/((Purchase!$D$1:$D$500=C1843)*(Purchase!$A$1:$A$500&lt;=A1843)),Purchase!$G$1:$G$500)</f>
        <v/>
      </c>
      <c r="G1843" s="23">
        <f>+D1843*F1843</f>
        <v/>
      </c>
    </row>
    <row r="1844">
      <c r="A1844" s="8" t="n"/>
      <c r="B1844" s="8" t="n"/>
      <c r="C1844" s="21" t="n"/>
      <c r="D1844" s="22" t="n"/>
      <c r="E1844" s="22">
        <f>IFERROR(+VLOOKUP(C1844,Master!B:C,2,0),"")</f>
        <v/>
      </c>
      <c r="F1844" s="23">
        <f>LOOKUP(2,1/((Purchase!$D$1:$D$500=C1844)*(Purchase!$A$1:$A$500&lt;=A1844)),Purchase!$G$1:$G$500)</f>
        <v/>
      </c>
      <c r="G1844" s="23">
        <f>+D1844*F1844</f>
        <v/>
      </c>
    </row>
    <row r="1845">
      <c r="A1845" s="8" t="n"/>
      <c r="B1845" s="8" t="n"/>
      <c r="C1845" s="21" t="n"/>
      <c r="D1845" s="22" t="n"/>
      <c r="E1845" s="22">
        <f>IFERROR(+VLOOKUP(C1845,Master!B:C,2,0),"")</f>
        <v/>
      </c>
      <c r="F1845" s="23">
        <f>LOOKUP(2,1/((Purchase!$D$1:$D$500=C1845)*(Purchase!$A$1:$A$500&lt;=A1845)),Purchase!$G$1:$G$500)</f>
        <v/>
      </c>
      <c r="G1845" s="23">
        <f>+D1845*F1845</f>
        <v/>
      </c>
    </row>
    <row r="1846">
      <c r="A1846" s="8" t="n"/>
      <c r="B1846" s="8" t="n"/>
      <c r="C1846" s="21" t="n"/>
      <c r="D1846" s="22" t="n"/>
      <c r="E1846" s="22">
        <f>IFERROR(+VLOOKUP(C1846,Master!B:C,2,0),"")</f>
        <v/>
      </c>
      <c r="F1846" s="23">
        <f>LOOKUP(2,1/((Purchase!$D$1:$D$500=C1846)*(Purchase!$A$1:$A$500&lt;=A1846)),Purchase!$G$1:$G$500)</f>
        <v/>
      </c>
      <c r="G1846" s="23">
        <f>+D1846*F1846</f>
        <v/>
      </c>
    </row>
    <row r="1847">
      <c r="A1847" s="8" t="n"/>
      <c r="B1847" s="8" t="n"/>
      <c r="C1847" s="21" t="n"/>
      <c r="D1847" s="22" t="n"/>
      <c r="E1847" s="22">
        <f>IFERROR(+VLOOKUP(C1847,Master!B:C,2,0),"")</f>
        <v/>
      </c>
      <c r="F1847" s="23">
        <f>LOOKUP(2,1/((Purchase!$D$1:$D$500=C1847)*(Purchase!$A$1:$A$500&lt;=A1847)),Purchase!$G$1:$G$500)</f>
        <v/>
      </c>
      <c r="G1847" s="23">
        <f>+D1847*F1847</f>
        <v/>
      </c>
    </row>
    <row r="1848">
      <c r="A1848" s="8" t="n"/>
      <c r="B1848" s="8" t="n"/>
      <c r="C1848" s="21" t="n"/>
      <c r="D1848" s="22" t="n"/>
      <c r="E1848" s="22">
        <f>IFERROR(+VLOOKUP(C1848,Master!B:C,2,0),"")</f>
        <v/>
      </c>
      <c r="F1848" s="23">
        <f>LOOKUP(2,1/((Purchase!$D$1:$D$500=C1848)*(Purchase!$A$1:$A$500&lt;=A1848)),Purchase!$G$1:$G$500)</f>
        <v/>
      </c>
      <c r="G1848" s="23">
        <f>+D1848*F1848</f>
        <v/>
      </c>
    </row>
    <row r="1849">
      <c r="A1849" s="8" t="n"/>
      <c r="B1849" s="8" t="n"/>
      <c r="C1849" s="21" t="n"/>
      <c r="D1849" s="22" t="n"/>
      <c r="E1849" s="22">
        <f>IFERROR(+VLOOKUP(C1849,Master!B:C,2,0),"")</f>
        <v/>
      </c>
      <c r="F1849" s="23">
        <f>LOOKUP(2,1/((Purchase!$D$1:$D$500=C1849)*(Purchase!$A$1:$A$500&lt;=A1849)),Purchase!$G$1:$G$500)</f>
        <v/>
      </c>
      <c r="G1849" s="23">
        <f>+D1849*F1849</f>
        <v/>
      </c>
    </row>
    <row r="1850">
      <c r="A1850" s="8" t="n"/>
      <c r="B1850" s="8" t="n"/>
      <c r="C1850" s="21" t="n"/>
      <c r="D1850" s="22" t="n"/>
      <c r="E1850" s="22">
        <f>IFERROR(+VLOOKUP(C1850,Master!B:C,2,0),"")</f>
        <v/>
      </c>
      <c r="F1850" s="23">
        <f>LOOKUP(2,1/((Purchase!$D$1:$D$500=C1850)*(Purchase!$A$1:$A$500&lt;=A1850)),Purchase!$G$1:$G$500)</f>
        <v/>
      </c>
      <c r="G1850" s="23">
        <f>+D1850*F1850</f>
        <v/>
      </c>
    </row>
    <row r="1851">
      <c r="A1851" s="8" t="n"/>
      <c r="B1851" s="8" t="n"/>
      <c r="C1851" s="21" t="n"/>
      <c r="D1851" s="22" t="n"/>
      <c r="E1851" s="22">
        <f>IFERROR(+VLOOKUP(C1851,Master!B:C,2,0),"")</f>
        <v/>
      </c>
      <c r="F1851" s="23">
        <f>LOOKUP(2,1/((Purchase!$D$1:$D$500=C1851)*(Purchase!$A$1:$A$500&lt;=A1851)),Purchase!$G$1:$G$500)</f>
        <v/>
      </c>
      <c r="G1851" s="23">
        <f>+D1851*F1851</f>
        <v/>
      </c>
    </row>
    <row r="1852">
      <c r="A1852" s="8" t="n"/>
      <c r="B1852" s="8" t="n"/>
      <c r="C1852" s="21" t="n"/>
      <c r="D1852" s="22" t="n"/>
      <c r="E1852" s="22">
        <f>IFERROR(+VLOOKUP(C1852,Master!B:C,2,0),"")</f>
        <v/>
      </c>
      <c r="F1852" s="23">
        <f>LOOKUP(2,1/((Purchase!$D$1:$D$500=C1852)*(Purchase!$A$1:$A$500&lt;=A1852)),Purchase!$G$1:$G$500)</f>
        <v/>
      </c>
      <c r="G1852" s="23">
        <f>+D1852*F1852</f>
        <v/>
      </c>
    </row>
    <row r="1853">
      <c r="A1853" s="8" t="n"/>
      <c r="B1853" s="8" t="n"/>
      <c r="C1853" s="21" t="n"/>
      <c r="D1853" s="22" t="n"/>
      <c r="E1853" s="22">
        <f>IFERROR(+VLOOKUP(C1853,Master!B:C,2,0),"")</f>
        <v/>
      </c>
      <c r="F1853" s="23">
        <f>LOOKUP(2,1/((Purchase!$D$1:$D$500=C1853)*(Purchase!$A$1:$A$500&lt;=A1853)),Purchase!$G$1:$G$500)</f>
        <v/>
      </c>
      <c r="G1853" s="23">
        <f>+D1853*F1853</f>
        <v/>
      </c>
    </row>
    <row r="1854">
      <c r="A1854" s="8" t="n"/>
      <c r="B1854" s="8" t="n"/>
      <c r="C1854" s="21" t="n"/>
      <c r="D1854" s="22" t="n"/>
      <c r="E1854" s="22">
        <f>IFERROR(+VLOOKUP(C1854,Master!B:C,2,0),"")</f>
        <v/>
      </c>
      <c r="F1854" s="23">
        <f>LOOKUP(2,1/((Purchase!$D$1:$D$500=C1854)*(Purchase!$A$1:$A$500&lt;=A1854)),Purchase!$G$1:$G$500)</f>
        <v/>
      </c>
      <c r="G1854" s="23">
        <f>+D1854*F1854</f>
        <v/>
      </c>
    </row>
    <row r="1855">
      <c r="A1855" s="8" t="n"/>
      <c r="B1855" s="8" t="n"/>
      <c r="C1855" s="21" t="n"/>
      <c r="D1855" s="22" t="n"/>
      <c r="E1855" s="22">
        <f>IFERROR(+VLOOKUP(C1855,Master!B:C,2,0),"")</f>
        <v/>
      </c>
      <c r="F1855" s="23">
        <f>LOOKUP(2,1/((Purchase!$D$1:$D$500=C1855)*(Purchase!$A$1:$A$500&lt;=A1855)),Purchase!$G$1:$G$500)</f>
        <v/>
      </c>
      <c r="G1855" s="23">
        <f>+D1855*F1855</f>
        <v/>
      </c>
    </row>
    <row r="1856">
      <c r="A1856" s="8" t="n"/>
      <c r="B1856" s="8" t="n"/>
      <c r="C1856" s="21" t="n"/>
      <c r="D1856" s="22" t="n"/>
      <c r="E1856" s="22">
        <f>IFERROR(+VLOOKUP(C1856,Master!B:C,2,0),"")</f>
        <v/>
      </c>
      <c r="F1856" s="23">
        <f>LOOKUP(2,1/((Purchase!$D$1:$D$500=C1856)*(Purchase!$A$1:$A$500&lt;=A1856)),Purchase!$G$1:$G$500)</f>
        <v/>
      </c>
      <c r="G1856" s="23">
        <f>+D1856*F1856</f>
        <v/>
      </c>
    </row>
    <row r="1857">
      <c r="A1857" s="8" t="n"/>
      <c r="B1857" s="8" t="n"/>
      <c r="C1857" s="21" t="n"/>
      <c r="D1857" s="22" t="n"/>
      <c r="E1857" s="22">
        <f>IFERROR(+VLOOKUP(C1857,Master!B:C,2,0),"")</f>
        <v/>
      </c>
      <c r="F1857" s="23">
        <f>LOOKUP(2,1/((Purchase!$D$1:$D$500=C1857)*(Purchase!$A$1:$A$500&lt;=A1857)),Purchase!$G$1:$G$500)</f>
        <v/>
      </c>
      <c r="G1857" s="23">
        <f>+D1857*F1857</f>
        <v/>
      </c>
    </row>
    <row r="1858">
      <c r="A1858" s="8" t="n"/>
      <c r="B1858" s="8" t="n"/>
      <c r="C1858" s="21" t="n"/>
      <c r="D1858" s="22" t="n"/>
      <c r="E1858" s="22">
        <f>IFERROR(+VLOOKUP(C1858,Master!B:C,2,0),"")</f>
        <v/>
      </c>
      <c r="F1858" s="23">
        <f>LOOKUP(2,1/((Purchase!$D$1:$D$500=C1858)*(Purchase!$A$1:$A$500&lt;=A1858)),Purchase!$G$1:$G$500)</f>
        <v/>
      </c>
      <c r="G1858" s="23">
        <f>+D1858*F1858</f>
        <v/>
      </c>
    </row>
    <row r="1859">
      <c r="A1859" s="8" t="n"/>
      <c r="B1859" s="8" t="n"/>
      <c r="C1859" s="21" t="n"/>
      <c r="D1859" s="22" t="n"/>
      <c r="E1859" s="22">
        <f>IFERROR(+VLOOKUP(C1859,Master!B:C,2,0),"")</f>
        <v/>
      </c>
      <c r="F1859" s="23">
        <f>LOOKUP(2,1/((Purchase!$D$1:$D$500=C1859)*(Purchase!$A$1:$A$500&lt;=A1859)),Purchase!$G$1:$G$500)</f>
        <v/>
      </c>
      <c r="G1859" s="23">
        <f>+D1859*F1859</f>
        <v/>
      </c>
    </row>
    <row r="1860">
      <c r="A1860" s="8" t="n"/>
      <c r="B1860" s="8" t="n"/>
      <c r="C1860" s="21" t="n"/>
      <c r="D1860" s="22" t="n"/>
      <c r="E1860" s="22">
        <f>IFERROR(+VLOOKUP(C1860,Master!B:C,2,0),"")</f>
        <v/>
      </c>
      <c r="F1860" s="23">
        <f>LOOKUP(2,1/((Purchase!$D$1:$D$500=C1860)*(Purchase!$A$1:$A$500&lt;=A1860)),Purchase!$G$1:$G$500)</f>
        <v/>
      </c>
      <c r="G1860" s="23">
        <f>+D1860*F1860</f>
        <v/>
      </c>
    </row>
    <row r="1861">
      <c r="A1861" s="8" t="n"/>
      <c r="B1861" s="8" t="n"/>
      <c r="C1861" s="21" t="n"/>
      <c r="D1861" s="22" t="n"/>
      <c r="E1861" s="22">
        <f>IFERROR(+VLOOKUP(C1861,Master!B:C,2,0),"")</f>
        <v/>
      </c>
      <c r="F1861" s="23">
        <f>LOOKUP(2,1/((Purchase!$D$1:$D$500=C1861)*(Purchase!$A$1:$A$500&lt;=A1861)),Purchase!$G$1:$G$500)</f>
        <v/>
      </c>
      <c r="G1861" s="23">
        <f>+D1861*F1861</f>
        <v/>
      </c>
    </row>
    <row r="1862">
      <c r="A1862" s="8" t="n"/>
      <c r="B1862" s="8" t="n"/>
      <c r="C1862" s="21" t="n"/>
      <c r="D1862" s="22" t="n"/>
      <c r="E1862" s="22">
        <f>IFERROR(+VLOOKUP(C1862,Master!B:C,2,0),"")</f>
        <v/>
      </c>
      <c r="F1862" s="23">
        <f>LOOKUP(2,1/((Purchase!$D$1:$D$500=C1862)*(Purchase!$A$1:$A$500&lt;=A1862)),Purchase!$G$1:$G$500)</f>
        <v/>
      </c>
      <c r="G1862" s="23">
        <f>+D1862*F1862</f>
        <v/>
      </c>
    </row>
    <row r="1863">
      <c r="A1863" s="8" t="n"/>
      <c r="B1863" s="8" t="n"/>
      <c r="C1863" s="21" t="n"/>
      <c r="D1863" s="22" t="n"/>
      <c r="E1863" s="22">
        <f>IFERROR(+VLOOKUP(C1863,Master!B:C,2,0),"")</f>
        <v/>
      </c>
      <c r="F1863" s="23">
        <f>LOOKUP(2,1/((Purchase!$D$1:$D$500=C1863)*(Purchase!$A$1:$A$500&lt;=A1863)),Purchase!$G$1:$G$500)</f>
        <v/>
      </c>
      <c r="G1863" s="23">
        <f>+D1863*F1863</f>
        <v/>
      </c>
    </row>
    <row r="1864">
      <c r="A1864" s="8" t="n"/>
      <c r="B1864" s="8" t="n"/>
      <c r="C1864" s="21" t="n"/>
      <c r="D1864" s="22" t="n"/>
      <c r="E1864" s="22">
        <f>IFERROR(+VLOOKUP(C1864,Master!B:C,2,0),"")</f>
        <v/>
      </c>
      <c r="F1864" s="23">
        <f>LOOKUP(2,1/((Purchase!$D$1:$D$500=C1864)*(Purchase!$A$1:$A$500&lt;=A1864)),Purchase!$G$1:$G$500)</f>
        <v/>
      </c>
      <c r="G1864" s="23">
        <f>+D1864*F1864</f>
        <v/>
      </c>
    </row>
    <row r="1865">
      <c r="A1865" s="24" t="inlineStr">
        <is>
          <t>Total</t>
        </is>
      </c>
      <c r="B1865" s="24" t="n"/>
      <c r="C1865" s="27" t="n"/>
      <c r="D1865" s="28" t="n"/>
      <c r="E1865" s="28">
        <f>IFERROR(+VLOOKUP(C1865,Master!B:C,2,0),"")</f>
        <v/>
      </c>
      <c r="F1865" s="29" t="n"/>
      <c r="G1865" s="29">
        <f>SUM(G4:G1864)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3.77734375" customWidth="1" min="1" max="1"/>
    <col width="15.21875" customWidth="1" min="2" max="2"/>
    <col width="11.44140625" customWidth="1" min="3" max="3"/>
    <col width="15.5546875" customWidth="1" min="4" max="4"/>
    <col width="13.21875" customWidth="1" min="6" max="6"/>
    <col width="13.21875" customWidth="1" min="7" max="7"/>
    <col width="8.88671875" customWidth="1" min="8" max="8"/>
  </cols>
  <sheetData>
    <row r="1" ht="24" customHeight="1">
      <c r="A1" s="30" t="inlineStr">
        <is>
          <t>RCS Per Meal Cost Report</t>
        </is>
      </c>
      <c r="B1" s="30" t="n"/>
      <c r="C1" s="30" t="n"/>
      <c r="D1" s="30" t="n"/>
      <c r="E1" s="30" t="n"/>
      <c r="F1" s="30" t="n"/>
      <c r="G1" s="30" t="n"/>
    </row>
    <row r="2" ht="18.6" customHeight="1">
      <c r="A2" s="26">
        <f>TEXT(+A4,"MMMM YYYY")</f>
        <v/>
      </c>
      <c r="B2" s="26" t="n"/>
      <c r="C2" s="26" t="n"/>
      <c r="D2" s="26" t="n"/>
      <c r="E2" s="26" t="n"/>
      <c r="F2" s="26" t="n"/>
      <c r="G2" s="26" t="n"/>
    </row>
    <row r="3" ht="31.8" customHeight="1">
      <c r="A3" s="31" t="inlineStr">
        <is>
          <t>Date</t>
        </is>
      </c>
      <c r="B3" s="31" t="inlineStr">
        <is>
          <t>Lunch</t>
        </is>
      </c>
      <c r="C3" s="31" t="inlineStr">
        <is>
          <t>Dinner</t>
        </is>
      </c>
      <c r="D3" s="31" t="inlineStr">
        <is>
          <t>Lunch Total Cost</t>
        </is>
      </c>
      <c r="E3" s="31" t="inlineStr">
        <is>
          <t>Dinner Total Cost</t>
        </is>
      </c>
      <c r="F3" s="31" t="inlineStr">
        <is>
          <t>Cost Per Lunch</t>
        </is>
      </c>
      <c r="G3" s="31" t="inlineStr">
        <is>
          <t>Cost Per Dinner</t>
        </is>
      </c>
    </row>
    <row r="4">
      <c r="A4" s="8">
        <f>+Use!A4</f>
        <v/>
      </c>
      <c r="B4" s="22" t="n">
        <v>700</v>
      </c>
      <c r="C4" s="22" t="n">
        <v>700</v>
      </c>
      <c r="D4" s="32">
        <f>+SUMIFS(Use!G:G,Use!A:A,A4,Use!B:B,$B$3)</f>
        <v/>
      </c>
      <c r="E4" s="32">
        <f>+SUMIFS(Use!G:G,Use!A:A,A4,Use!B:B,$C$3)</f>
        <v/>
      </c>
      <c r="F4" s="15">
        <f>IFERROR(+D4/B4,0)</f>
        <v/>
      </c>
      <c r="G4" s="15">
        <f>+IFERROR(E4/C4,0)</f>
        <v/>
      </c>
    </row>
    <row r="5">
      <c r="A5" s="8">
        <f>+A4+1</f>
        <v/>
      </c>
      <c r="B5" s="22" t="n">
        <v>500</v>
      </c>
      <c r="C5" s="22" t="n">
        <v>200</v>
      </c>
      <c r="D5" s="32">
        <f>+SUMIFS(Use!G:G,Use!A:A,A5,Use!B:B,$B$3)</f>
        <v/>
      </c>
      <c r="E5" s="32">
        <f>+SUMIFS(Use!G:G,Use!A:A,A5,Use!B:B,$C$3)</f>
        <v/>
      </c>
      <c r="F5" s="15">
        <f>IFERROR(+D5/B5,0)</f>
        <v/>
      </c>
      <c r="G5" s="15">
        <f>+IFERROR(E5/C5,0)</f>
        <v/>
      </c>
    </row>
    <row r="6">
      <c r="A6" s="8">
        <f>+A5+1</f>
        <v/>
      </c>
      <c r="B6" s="22" t="n"/>
      <c r="C6" s="22" t="n"/>
      <c r="D6" s="32">
        <f>+SUMIFS(Use!G:G,Use!A:A,A6,Use!B:B,$B$3)</f>
        <v/>
      </c>
      <c r="E6" s="32">
        <f>+SUMIFS(Use!G:G,Use!A:A,A6,Use!B:B,$C$3)</f>
        <v/>
      </c>
      <c r="F6" s="15">
        <f>IFERROR(+D6/B6,0)</f>
        <v/>
      </c>
      <c r="G6" s="15">
        <f>+IFERROR(E6/C6,0)</f>
        <v/>
      </c>
    </row>
    <row r="7">
      <c r="A7" s="8">
        <f>+A6+1</f>
        <v/>
      </c>
      <c r="B7" s="22" t="n"/>
      <c r="C7" s="22" t="n"/>
      <c r="D7" s="32">
        <f>+SUMIFS(Use!G:G,Use!A:A,A7,Use!B:B,$B$3)</f>
        <v/>
      </c>
      <c r="E7" s="32">
        <f>+SUMIFS(Use!G:G,Use!A:A,A7,Use!B:B,$C$3)</f>
        <v/>
      </c>
      <c r="F7" s="15">
        <f>IFERROR(+D7/B7,0)</f>
        <v/>
      </c>
      <c r="G7" s="15">
        <f>+IFERROR(E7/C7,0)</f>
        <v/>
      </c>
    </row>
    <row r="8">
      <c r="A8" s="8">
        <f>+A7+1</f>
        <v/>
      </c>
      <c r="B8" s="22" t="n"/>
      <c r="C8" s="22" t="n"/>
      <c r="D8" s="32">
        <f>+SUMIFS(Use!G:G,Use!A:A,A8,Use!B:B,$B$3)</f>
        <v/>
      </c>
      <c r="E8" s="32">
        <f>+SUMIFS(Use!G:G,Use!A:A,A8,Use!B:B,$C$3)</f>
        <v/>
      </c>
      <c r="F8" s="15">
        <f>IFERROR(+D8/B8,0)</f>
        <v/>
      </c>
      <c r="G8" s="15">
        <f>+IFERROR(E8/C8,0)</f>
        <v/>
      </c>
    </row>
    <row r="9">
      <c r="A9" s="8">
        <f>+A8+1</f>
        <v/>
      </c>
      <c r="B9" s="22" t="n"/>
      <c r="C9" s="22" t="n"/>
      <c r="D9" s="32">
        <f>+SUMIFS(Use!G:G,Use!A:A,A9,Use!B:B,$B$3)</f>
        <v/>
      </c>
      <c r="E9" s="32">
        <f>+SUMIFS(Use!G:G,Use!A:A,A9,Use!B:B,$C$3)</f>
        <v/>
      </c>
      <c r="F9" s="15">
        <f>IFERROR(+D9/B9,0)</f>
        <v/>
      </c>
      <c r="G9" s="15">
        <f>+IFERROR(E9/C9,0)</f>
        <v/>
      </c>
    </row>
    <row r="10">
      <c r="A10" s="8">
        <f>+A9+1</f>
        <v/>
      </c>
      <c r="B10" s="22" t="n"/>
      <c r="C10" s="22" t="n"/>
      <c r="D10" s="32">
        <f>+SUMIFS(Use!G:G,Use!A:A,A10,Use!B:B,$B$3)</f>
        <v/>
      </c>
      <c r="E10" s="32">
        <f>+SUMIFS(Use!G:G,Use!A:A,A10,Use!B:B,$C$3)</f>
        <v/>
      </c>
      <c r="F10" s="15">
        <f>IFERROR(+D10/B10,0)</f>
        <v/>
      </c>
      <c r="G10" s="15">
        <f>+IFERROR(E10/C10,0)</f>
        <v/>
      </c>
    </row>
    <row r="11">
      <c r="A11" s="8">
        <f>+A10+1</f>
        <v/>
      </c>
      <c r="B11" s="22" t="n"/>
      <c r="C11" s="22" t="n"/>
      <c r="D11" s="32">
        <f>+SUMIFS(Use!G:G,Use!A:A,A11,Use!B:B,$B$3)</f>
        <v/>
      </c>
      <c r="E11" s="32">
        <f>+SUMIFS(Use!G:G,Use!A:A,A11,Use!B:B,$C$3)</f>
        <v/>
      </c>
      <c r="F11" s="15">
        <f>IFERROR(+D11/B11,0)</f>
        <v/>
      </c>
      <c r="G11" s="15">
        <f>+IFERROR(E11/C11,0)</f>
        <v/>
      </c>
    </row>
    <row r="12">
      <c r="A12" s="8">
        <f>+A11+1</f>
        <v/>
      </c>
      <c r="B12" s="22" t="n"/>
      <c r="C12" s="22" t="n"/>
      <c r="D12" s="32">
        <f>+SUMIFS(Use!G:G,Use!A:A,A12,Use!B:B,$B$3)</f>
        <v/>
      </c>
      <c r="E12" s="32">
        <f>+SUMIFS(Use!G:G,Use!A:A,A12,Use!B:B,$C$3)</f>
        <v/>
      </c>
      <c r="F12" s="15">
        <f>IFERROR(+D12/B12,0)</f>
        <v/>
      </c>
      <c r="G12" s="15">
        <f>+IFERROR(E12/C12,0)</f>
        <v/>
      </c>
    </row>
    <row r="13">
      <c r="A13" s="8">
        <f>+A12+1</f>
        <v/>
      </c>
      <c r="B13" s="22" t="n"/>
      <c r="C13" s="22" t="n"/>
      <c r="D13" s="32">
        <f>+SUMIFS(Use!G:G,Use!A:A,A13,Use!B:B,$B$3)</f>
        <v/>
      </c>
      <c r="E13" s="32">
        <f>+SUMIFS(Use!G:G,Use!A:A,A13,Use!B:B,$C$3)</f>
        <v/>
      </c>
      <c r="F13" s="15">
        <f>IFERROR(+D13/B13,0)</f>
        <v/>
      </c>
      <c r="G13" s="15">
        <f>+IFERROR(E13/C13,0)</f>
        <v/>
      </c>
    </row>
    <row r="14">
      <c r="A14" s="8">
        <f>+A13+1</f>
        <v/>
      </c>
      <c r="B14" s="22" t="n"/>
      <c r="C14" s="22" t="n"/>
      <c r="D14" s="32">
        <f>+SUMIFS(Use!G:G,Use!A:A,A14,Use!B:B,$B$3)</f>
        <v/>
      </c>
      <c r="E14" s="32">
        <f>+SUMIFS(Use!G:G,Use!A:A,A14,Use!B:B,$C$3)</f>
        <v/>
      </c>
      <c r="F14" s="15">
        <f>IFERROR(+D14/B14,0)</f>
        <v/>
      </c>
      <c r="G14" s="15">
        <f>+IFERROR(E14/C14,0)</f>
        <v/>
      </c>
    </row>
    <row r="15">
      <c r="A15" s="8">
        <f>+A14+1</f>
        <v/>
      </c>
      <c r="B15" s="22" t="n"/>
      <c r="C15" s="22" t="n"/>
      <c r="D15" s="32">
        <f>+SUMIFS(Use!G:G,Use!A:A,A15,Use!B:B,$B$3)</f>
        <v/>
      </c>
      <c r="E15" s="32">
        <f>+SUMIFS(Use!G:G,Use!A:A,A15,Use!B:B,$C$3)</f>
        <v/>
      </c>
      <c r="F15" s="15">
        <f>IFERROR(+D15/B15,0)</f>
        <v/>
      </c>
      <c r="G15" s="15">
        <f>+IFERROR(E15/C15,0)</f>
        <v/>
      </c>
    </row>
    <row r="16">
      <c r="A16" s="8">
        <f>+A15+1</f>
        <v/>
      </c>
      <c r="B16" s="22" t="n"/>
      <c r="C16" s="22" t="n"/>
      <c r="D16" s="32">
        <f>+SUMIFS(Use!G:G,Use!A:A,A16,Use!B:B,$B$3)</f>
        <v/>
      </c>
      <c r="E16" s="32">
        <f>+SUMIFS(Use!G:G,Use!A:A,A16,Use!B:B,$C$3)</f>
        <v/>
      </c>
      <c r="F16" s="15">
        <f>IFERROR(+D16/B16,0)</f>
        <v/>
      </c>
      <c r="G16" s="15">
        <f>+IFERROR(E16/C16,0)</f>
        <v/>
      </c>
    </row>
    <row r="17">
      <c r="A17" s="8">
        <f>+A16+1</f>
        <v/>
      </c>
      <c r="B17" s="22" t="n"/>
      <c r="C17" s="22" t="n"/>
      <c r="D17" s="32">
        <f>+SUMIFS(Use!G:G,Use!A:A,A17,Use!B:B,$B$3)</f>
        <v/>
      </c>
      <c r="E17" s="32">
        <f>+SUMIFS(Use!G:G,Use!A:A,A17,Use!B:B,$C$3)</f>
        <v/>
      </c>
      <c r="F17" s="15">
        <f>IFERROR(+D17/B17,0)</f>
        <v/>
      </c>
      <c r="G17" s="15">
        <f>+IFERROR(E17/C17,0)</f>
        <v/>
      </c>
    </row>
    <row r="18">
      <c r="A18" s="8">
        <f>+A17+1</f>
        <v/>
      </c>
      <c r="B18" s="22" t="n"/>
      <c r="C18" s="22" t="n"/>
      <c r="D18" s="32">
        <f>+SUMIFS(Use!G:G,Use!A:A,A18,Use!B:B,$B$3)</f>
        <v/>
      </c>
      <c r="E18" s="32">
        <f>+SUMIFS(Use!G:G,Use!A:A,A18,Use!B:B,$C$3)</f>
        <v/>
      </c>
      <c r="F18" s="15">
        <f>IFERROR(+D18/B18,0)</f>
        <v/>
      </c>
      <c r="G18" s="15">
        <f>+IFERROR(E18/C18,0)</f>
        <v/>
      </c>
    </row>
    <row r="19">
      <c r="A19" s="8">
        <f>+A18+1</f>
        <v/>
      </c>
      <c r="B19" s="22" t="n"/>
      <c r="C19" s="22" t="n"/>
      <c r="D19" s="32">
        <f>+SUMIFS(Use!G:G,Use!A:A,A19,Use!B:B,$B$3)</f>
        <v/>
      </c>
      <c r="E19" s="32">
        <f>+SUMIFS(Use!G:G,Use!A:A,A19,Use!B:B,$C$3)</f>
        <v/>
      </c>
      <c r="F19" s="15">
        <f>IFERROR(+D19/B19,0)</f>
        <v/>
      </c>
      <c r="G19" s="15">
        <f>+IFERROR(E19/C19,0)</f>
        <v/>
      </c>
    </row>
    <row r="20">
      <c r="A20" s="8">
        <f>+A19+1</f>
        <v/>
      </c>
      <c r="B20" s="22" t="n"/>
      <c r="C20" s="22" t="n"/>
      <c r="D20" s="32">
        <f>+SUMIFS(Use!G:G,Use!A:A,A20,Use!B:B,$B$3)</f>
        <v/>
      </c>
      <c r="E20" s="32">
        <f>+SUMIFS(Use!G:G,Use!A:A,A20,Use!B:B,$C$3)</f>
        <v/>
      </c>
      <c r="F20" s="15">
        <f>IFERROR(+D20/B20,0)</f>
        <v/>
      </c>
      <c r="G20" s="15">
        <f>+IFERROR(E20/C20,0)</f>
        <v/>
      </c>
    </row>
    <row r="21">
      <c r="A21" s="8">
        <f>+A20+1</f>
        <v/>
      </c>
      <c r="B21" s="22" t="n"/>
      <c r="C21" s="22" t="n"/>
      <c r="D21" s="32">
        <f>+SUMIFS(Use!G:G,Use!A:A,A21,Use!B:B,$B$3)</f>
        <v/>
      </c>
      <c r="E21" s="32">
        <f>+SUMIFS(Use!G:G,Use!A:A,A21,Use!B:B,$C$3)</f>
        <v/>
      </c>
      <c r="F21" s="15">
        <f>IFERROR(+D21/B21,0)</f>
        <v/>
      </c>
      <c r="G21" s="15">
        <f>+IFERROR(E21/C21,0)</f>
        <v/>
      </c>
    </row>
    <row r="22">
      <c r="A22" s="8">
        <f>+A21+1</f>
        <v/>
      </c>
      <c r="B22" s="22" t="n"/>
      <c r="C22" s="22" t="n"/>
      <c r="D22" s="32">
        <f>+SUMIFS(Use!G:G,Use!A:A,A22,Use!B:B,$B$3)</f>
        <v/>
      </c>
      <c r="E22" s="32">
        <f>+SUMIFS(Use!G:G,Use!A:A,A22,Use!B:B,$C$3)</f>
        <v/>
      </c>
      <c r="F22" s="15">
        <f>IFERROR(+D22/B22,0)</f>
        <v/>
      </c>
      <c r="G22" s="15">
        <f>+IFERROR(E22/C22,0)</f>
        <v/>
      </c>
    </row>
    <row r="23">
      <c r="A23" s="8">
        <f>+A22+1</f>
        <v/>
      </c>
      <c r="B23" s="22" t="n"/>
      <c r="C23" s="22" t="n"/>
      <c r="D23" s="32">
        <f>+SUMIFS(Use!G:G,Use!A:A,A23,Use!B:B,$B$3)</f>
        <v/>
      </c>
      <c r="E23" s="32">
        <f>+SUMIFS(Use!G:G,Use!A:A,A23,Use!B:B,$C$3)</f>
        <v/>
      </c>
      <c r="F23" s="15">
        <f>IFERROR(+D23/B23,0)</f>
        <v/>
      </c>
      <c r="G23" s="15">
        <f>+IFERROR(E23/C23,0)</f>
        <v/>
      </c>
    </row>
    <row r="24">
      <c r="A24" s="8">
        <f>+A23+1</f>
        <v/>
      </c>
      <c r="B24" s="22" t="n"/>
      <c r="C24" s="22" t="n"/>
      <c r="D24" s="32">
        <f>+SUMIFS(Use!G:G,Use!A:A,A24,Use!B:B,$B$3)</f>
        <v/>
      </c>
      <c r="E24" s="32">
        <f>+SUMIFS(Use!G:G,Use!A:A,A24,Use!B:B,$C$3)</f>
        <v/>
      </c>
      <c r="F24" s="15">
        <f>IFERROR(+D24/B24,0)</f>
        <v/>
      </c>
      <c r="G24" s="15">
        <f>+IFERROR(E24/C24,0)</f>
        <v/>
      </c>
    </row>
    <row r="25">
      <c r="A25" s="8">
        <f>+A24+1</f>
        <v/>
      </c>
      <c r="B25" s="22" t="n"/>
      <c r="C25" s="22" t="n"/>
      <c r="D25" s="32">
        <f>+SUMIFS(Use!G:G,Use!A:A,A25,Use!B:B,$B$3)</f>
        <v/>
      </c>
      <c r="E25" s="32">
        <f>+SUMIFS(Use!G:G,Use!A:A,A25,Use!B:B,$C$3)</f>
        <v/>
      </c>
      <c r="F25" s="15">
        <f>IFERROR(+D25/B25,0)</f>
        <v/>
      </c>
      <c r="G25" s="15">
        <f>+IFERROR(E25/C25,0)</f>
        <v/>
      </c>
    </row>
    <row r="26">
      <c r="A26" s="8">
        <f>+A25+1</f>
        <v/>
      </c>
      <c r="B26" s="22" t="n"/>
      <c r="C26" s="22" t="n"/>
      <c r="D26" s="32">
        <f>+SUMIFS(Use!G:G,Use!A:A,A26,Use!B:B,$B$3)</f>
        <v/>
      </c>
      <c r="E26" s="32">
        <f>+SUMIFS(Use!G:G,Use!A:A,A26,Use!B:B,$C$3)</f>
        <v/>
      </c>
      <c r="F26" s="15">
        <f>IFERROR(+D26/B26,0)</f>
        <v/>
      </c>
      <c r="G26" s="15">
        <f>+IFERROR(E26/C26,0)</f>
        <v/>
      </c>
    </row>
    <row r="27">
      <c r="A27" s="8">
        <f>+A26+1</f>
        <v/>
      </c>
      <c r="B27" s="22" t="n"/>
      <c r="C27" s="22" t="n"/>
      <c r="D27" s="32">
        <f>+SUMIFS(Use!G:G,Use!A:A,A27,Use!B:B,$B$3)</f>
        <v/>
      </c>
      <c r="E27" s="32">
        <f>+SUMIFS(Use!G:G,Use!A:A,A27,Use!B:B,$C$3)</f>
        <v/>
      </c>
      <c r="F27" s="15">
        <f>IFERROR(+D27/B27,0)</f>
        <v/>
      </c>
      <c r="G27" s="15">
        <f>+IFERROR(E27/C27,0)</f>
        <v/>
      </c>
    </row>
    <row r="28">
      <c r="A28" s="8">
        <f>+A27+1</f>
        <v/>
      </c>
      <c r="B28" s="22" t="n"/>
      <c r="C28" s="22" t="n"/>
      <c r="D28" s="32">
        <f>+SUMIFS(Use!G:G,Use!A:A,A28,Use!B:B,$B$3)</f>
        <v/>
      </c>
      <c r="E28" s="32">
        <f>+SUMIFS(Use!G:G,Use!A:A,A28,Use!B:B,$C$3)</f>
        <v/>
      </c>
      <c r="F28" s="15">
        <f>IFERROR(+D28/B28,0)</f>
        <v/>
      </c>
      <c r="G28" s="15">
        <f>+IFERROR(E28/C28,0)</f>
        <v/>
      </c>
    </row>
    <row r="29">
      <c r="A29" s="8">
        <f>+A28+1</f>
        <v/>
      </c>
      <c r="B29" s="22" t="n"/>
      <c r="C29" s="22" t="n"/>
      <c r="D29" s="32">
        <f>+SUMIFS(Use!G:G,Use!A:A,A29,Use!B:B,$B$3)</f>
        <v/>
      </c>
      <c r="E29" s="32">
        <f>+SUMIFS(Use!G:G,Use!A:A,A29,Use!B:B,$C$3)</f>
        <v/>
      </c>
      <c r="F29" s="15">
        <f>IFERROR(+D29/B29,0)</f>
        <v/>
      </c>
      <c r="G29" s="15">
        <f>+IFERROR(E29/C29,0)</f>
        <v/>
      </c>
    </row>
    <row r="30">
      <c r="A30" s="8">
        <f>+IF((A29+1)&gt;EOMONTH(A4,0),"",(A29+1))</f>
        <v/>
      </c>
      <c r="B30" s="22" t="n"/>
      <c r="C30" s="22" t="n"/>
      <c r="D30" s="32">
        <f>+SUMIFS(Use!G:G,Use!A:A,A30,Use!B:B,$B$3)</f>
        <v/>
      </c>
      <c r="E30" s="32">
        <f>+SUMIFS(Use!G:G,Use!A:A,A30,Use!B:B,$C$3)</f>
        <v/>
      </c>
      <c r="F30" s="15">
        <f>IFERROR(+D30/B30,0)</f>
        <v/>
      </c>
      <c r="G30" s="15">
        <f>+IFERROR(E30/C30,0)</f>
        <v/>
      </c>
    </row>
    <row r="31">
      <c r="A31" s="8">
        <f>+IF((A30+1)&gt;EOMONTH(A5,0),"",(A30+1))</f>
        <v/>
      </c>
      <c r="B31" s="22" t="n"/>
      <c r="C31" s="22" t="n"/>
      <c r="D31" s="32">
        <f>+SUMIFS(Use!G:G,Use!A:A,A31,Use!B:B,$B$3)</f>
        <v/>
      </c>
      <c r="E31" s="32">
        <f>+SUMIFS(Use!G:G,Use!A:A,A31,Use!B:B,$C$3)</f>
        <v/>
      </c>
      <c r="F31" s="15">
        <f>IFERROR(+D31/B31,0)</f>
        <v/>
      </c>
      <c r="G31" s="15">
        <f>+IFERROR(E31/C31,0)</f>
        <v/>
      </c>
    </row>
    <row r="32">
      <c r="A32" s="8">
        <f>IFERROR(+IF((A31+1)&gt;EOMONTH(A6,0),"",(A31+1)),"")</f>
        <v/>
      </c>
      <c r="B32" s="22" t="n"/>
      <c r="C32" s="22" t="n"/>
      <c r="D32" s="32">
        <f>+SUMIFS(Use!G:G,Use!A:A,A32,Use!B:B,$B$3)</f>
        <v/>
      </c>
      <c r="E32" s="32">
        <f>+SUMIFS(Use!G:G,Use!A:A,A32,Use!B:B,$C$3)</f>
        <v/>
      </c>
      <c r="F32" s="15">
        <f>IFERROR(+D32/B32,0)</f>
        <v/>
      </c>
      <c r="G32" s="15">
        <f>+IFERROR(E32/C32,0)</f>
        <v/>
      </c>
    </row>
    <row r="33">
      <c r="A33" s="8">
        <f>IFERROR(+IF((A32+1)&gt;EOMONTH(A7,0),"",(A32+1)),"")</f>
        <v/>
      </c>
      <c r="B33" s="22" t="n"/>
      <c r="C33" s="22" t="n"/>
      <c r="D33" s="32">
        <f>+SUMIFS(Use!G:G,Use!A:A,A33,Use!B:B,$B$3)</f>
        <v/>
      </c>
      <c r="E33" s="32">
        <f>+SUMIFS(Use!G:G,Use!A:A,A33,Use!B:B,$C$3)</f>
        <v/>
      </c>
      <c r="F33" s="15">
        <f>IFERROR(+D33/B33,0)</f>
        <v/>
      </c>
      <c r="G33" s="15">
        <f>+IFERROR(E33/C33,0)</f>
        <v/>
      </c>
    </row>
    <row r="34">
      <c r="A34" s="8">
        <f>IFERROR(+IF((A33+1)&gt;EOMONTH(A8,0),"",(A33+1)),"")</f>
        <v/>
      </c>
      <c r="B34" s="33" t="n"/>
      <c r="C34" s="33" t="n"/>
      <c r="D34" s="32">
        <f>+SUMIFS(Use!G:G,Use!A:A,A34,Use!B:B,$B$3)</f>
        <v/>
      </c>
      <c r="E34" s="32">
        <f>+SUMIFS(Use!G:G,Use!A:A,A34,Use!B:B,$C$3)</f>
        <v/>
      </c>
      <c r="F34" s="15">
        <f>IFERROR(+D34/B34,0)</f>
        <v/>
      </c>
      <c r="G34" s="15">
        <f>+IFERROR(E34/C34,0)</f>
        <v/>
      </c>
    </row>
    <row r="35">
      <c r="A35" s="24" t="inlineStr">
        <is>
          <t>Total Monthly</t>
        </is>
      </c>
      <c r="B35" s="28">
        <f>SUM(B4:B34)</f>
        <v/>
      </c>
      <c r="C35" s="28">
        <f>SUM(C4:C34)</f>
        <v/>
      </c>
      <c r="D35" s="28">
        <f>SUM(D4:D34)</f>
        <v/>
      </c>
      <c r="E35" s="28">
        <f>SUM(E4:E34)</f>
        <v/>
      </c>
      <c r="F35" s="13">
        <f>IFERROR(+D35/B35,0)</f>
        <v/>
      </c>
      <c r="G35" s="13">
        <f>+IFERROR(E35/C35,0)</f>
        <v/>
      </c>
    </row>
    <row r="36"/>
    <row r="37"/>
    <row r="38"/>
    <row r="39"/>
    <row r="40"/>
    <row r="41"/>
    <row r="42">
      <c r="E42" s="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.88671875" customWidth="1" min="1" max="1"/>
    <col width="19.44140625" customWidth="1" min="2" max="2"/>
    <col width="8.5546875" customWidth="1" min="3" max="3"/>
    <col width="16.6640625" customWidth="1" min="4" max="4"/>
    <col width="15.5546875" customWidth="1" min="5" max="5"/>
    <col width="20.44140625" customWidth="1" min="6" max="6"/>
    <col width="8.88671875" customWidth="1" min="7" max="7"/>
  </cols>
  <sheetData>
    <row r="1" ht="21.6" customHeight="1">
      <c r="A1" s="35" t="inlineStr">
        <is>
          <t>TOTAL STOCK REPORT</t>
        </is>
      </c>
      <c r="B1" s="2" t="n"/>
      <c r="C1" s="2" t="n"/>
      <c r="D1" s="2" t="n"/>
      <c r="E1" s="2" t="n"/>
      <c r="F1" s="2" t="n"/>
    </row>
    <row r="2" ht="18.6" customHeight="1">
      <c r="A2" s="36">
        <f>TEXT(+Use!A4,"MMMM YYYY")</f>
        <v/>
      </c>
      <c r="B2" s="36" t="n"/>
      <c r="C2" s="36" t="n"/>
      <c r="D2" s="36" t="n"/>
      <c r="E2" s="36" t="n"/>
      <c r="F2" s="37" t="n"/>
    </row>
    <row r="3" ht="18.6" customHeight="1">
      <c r="A3" s="5" t="inlineStr">
        <is>
          <t>Sr No</t>
        </is>
      </c>
      <c r="B3" s="5" t="inlineStr">
        <is>
          <t>Item</t>
        </is>
      </c>
      <c r="C3" s="5" t="inlineStr">
        <is>
          <t>Unit</t>
        </is>
      </c>
      <c r="D3" s="5" t="inlineStr">
        <is>
          <t>Purchased</t>
        </is>
      </c>
      <c r="E3" s="5" t="inlineStr">
        <is>
          <t>Used</t>
        </is>
      </c>
      <c r="F3" s="5" t="inlineStr">
        <is>
          <t>Closing Stock</t>
        </is>
      </c>
    </row>
    <row r="4" ht="15.6" customHeight="1">
      <c r="A4" s="38">
        <f>+Master!A4</f>
        <v/>
      </c>
      <c r="B4" s="39">
        <f>+Master!B4</f>
        <v/>
      </c>
      <c r="C4" s="39">
        <f>+Master!C4</f>
        <v/>
      </c>
      <c r="D4" s="22">
        <f>SUMIFS(Purchase!E:E,Purchase!D:D,B4)</f>
        <v/>
      </c>
      <c r="E4" s="22">
        <f>SUMIFS(Use!D:D,Use!C:C,B4)</f>
        <v/>
      </c>
      <c r="F4" s="22">
        <f>+D4-E4</f>
        <v/>
      </c>
    </row>
    <row r="5" ht="15.6" customHeight="1">
      <c r="A5" s="38">
        <f>+Master!A5</f>
        <v/>
      </c>
      <c r="B5" s="39">
        <f>+Master!B5</f>
        <v/>
      </c>
      <c r="C5" s="39">
        <f>+Master!C5</f>
        <v/>
      </c>
      <c r="D5" s="22">
        <f>SUMIFS(Purchase!E:E,Purchase!D:D,B5)</f>
        <v/>
      </c>
      <c r="E5" s="22">
        <f>SUMIFS(Use!D:D,Use!C:C,B5)</f>
        <v/>
      </c>
      <c r="F5" s="22">
        <f>+D5-E5</f>
        <v/>
      </c>
    </row>
    <row r="6" ht="15.6" customHeight="1">
      <c r="A6" s="38">
        <f>+Master!A6</f>
        <v/>
      </c>
      <c r="B6" s="39">
        <f>+Master!B6</f>
        <v/>
      </c>
      <c r="C6" s="39">
        <f>+Master!C6</f>
        <v/>
      </c>
      <c r="D6" s="22">
        <f>SUMIFS(Purchase!E:E,Purchase!D:D,B6)</f>
        <v/>
      </c>
      <c r="E6" s="22">
        <f>SUMIFS(Use!D:D,Use!C:C,B6)</f>
        <v/>
      </c>
      <c r="F6" s="22">
        <f>+D6-E6</f>
        <v/>
      </c>
    </row>
    <row r="7" ht="15.6" customHeight="1">
      <c r="A7" s="38">
        <f>+Master!A7</f>
        <v/>
      </c>
      <c r="B7" s="39">
        <f>+Master!B7</f>
        <v/>
      </c>
      <c r="C7" s="39">
        <f>+Master!C7</f>
        <v/>
      </c>
      <c r="D7" s="22">
        <f>SUMIFS(Purchase!E:E,Purchase!D:D,B7)</f>
        <v/>
      </c>
      <c r="E7" s="22">
        <f>SUMIFS(Use!D:D,Use!C:C,B7)</f>
        <v/>
      </c>
      <c r="F7" s="22">
        <f>+D7-E7</f>
        <v/>
      </c>
    </row>
    <row r="8" ht="15.6" customHeight="1">
      <c r="A8" s="38">
        <f>+Master!A8</f>
        <v/>
      </c>
      <c r="B8" s="39">
        <f>+Master!B8</f>
        <v/>
      </c>
      <c r="C8" s="39">
        <f>+Master!C8</f>
        <v/>
      </c>
      <c r="D8" s="22">
        <f>SUMIFS(Purchase!E:E,Purchase!D:D,B8)</f>
        <v/>
      </c>
      <c r="E8" s="22">
        <f>SUMIFS(Use!D:D,Use!C:C,B8)</f>
        <v/>
      </c>
      <c r="F8" s="22">
        <f>+D8-E8</f>
        <v/>
      </c>
    </row>
    <row r="9" ht="15.6" customHeight="1">
      <c r="A9" s="38">
        <f>+Master!A9</f>
        <v/>
      </c>
      <c r="B9" s="39">
        <f>+Master!B9</f>
        <v/>
      </c>
      <c r="C9" s="39">
        <f>+Master!C9</f>
        <v/>
      </c>
      <c r="D9" s="22">
        <f>SUMIFS(Purchase!E:E,Purchase!D:D,B9)</f>
        <v/>
      </c>
      <c r="E9" s="22">
        <f>SUMIFS(Use!D:D,Use!C:C,B9)</f>
        <v/>
      </c>
      <c r="F9" s="22">
        <f>+D9-E9</f>
        <v/>
      </c>
    </row>
    <row r="10" ht="15.6" customHeight="1">
      <c r="A10" s="38">
        <f>+Master!A10</f>
        <v/>
      </c>
      <c r="B10" s="39">
        <f>+Master!B10</f>
        <v/>
      </c>
      <c r="C10" s="39">
        <f>+Master!C10</f>
        <v/>
      </c>
      <c r="D10" s="22">
        <f>SUMIFS(Purchase!E:E,Purchase!D:D,B10)</f>
        <v/>
      </c>
      <c r="E10" s="22">
        <f>SUMIFS(Use!D:D,Use!C:C,B10)</f>
        <v/>
      </c>
      <c r="F10" s="22">
        <f>+D10-E10</f>
        <v/>
      </c>
    </row>
    <row r="11" ht="15.6" customHeight="1">
      <c r="A11" s="38">
        <f>+Master!A11</f>
        <v/>
      </c>
      <c r="B11" s="39">
        <f>+Master!B11</f>
        <v/>
      </c>
      <c r="C11" s="39">
        <f>+Master!C11</f>
        <v/>
      </c>
      <c r="D11" s="22">
        <f>SUMIFS(Purchase!E:E,Purchase!D:D,B11)</f>
        <v/>
      </c>
      <c r="E11" s="22">
        <f>SUMIFS(Use!D:D,Use!C:C,B11)</f>
        <v/>
      </c>
      <c r="F11" s="22">
        <f>+D11-E11</f>
        <v/>
      </c>
    </row>
    <row r="12" ht="15.6" customHeight="1">
      <c r="A12" s="38">
        <f>+Master!A12</f>
        <v/>
      </c>
      <c r="B12" s="39">
        <f>+Master!B12</f>
        <v/>
      </c>
      <c r="C12" s="39">
        <f>+Master!C12</f>
        <v/>
      </c>
      <c r="D12" s="22">
        <f>SUMIFS(Purchase!E:E,Purchase!D:D,B12)</f>
        <v/>
      </c>
      <c r="E12" s="22">
        <f>SUMIFS(Use!D:D,Use!C:C,B12)</f>
        <v/>
      </c>
      <c r="F12" s="22">
        <f>+D12-E12</f>
        <v/>
      </c>
    </row>
    <row r="13" ht="15.6" customHeight="1">
      <c r="A13" s="38">
        <f>+Master!A13</f>
        <v/>
      </c>
      <c r="B13" s="39">
        <f>+Master!B13</f>
        <v/>
      </c>
      <c r="C13" s="39">
        <f>+Master!C13</f>
        <v/>
      </c>
      <c r="D13" s="22">
        <f>SUMIFS(Purchase!E:E,Purchase!D:D,B13)</f>
        <v/>
      </c>
      <c r="E13" s="22">
        <f>SUMIFS(Use!D:D,Use!C:C,B13)</f>
        <v/>
      </c>
      <c r="F13" s="22">
        <f>+D13-E13</f>
        <v/>
      </c>
    </row>
    <row r="14" ht="15.6" customHeight="1">
      <c r="A14" s="38">
        <f>+Master!A14</f>
        <v/>
      </c>
      <c r="B14" s="39">
        <f>+Master!B14</f>
        <v/>
      </c>
      <c r="C14" s="39">
        <f>+Master!C14</f>
        <v/>
      </c>
      <c r="D14" s="22">
        <f>SUMIFS(Purchase!E:E,Purchase!D:D,B14)</f>
        <v/>
      </c>
      <c r="E14" s="22">
        <f>SUMIFS(Use!D:D,Use!C:C,B14)</f>
        <v/>
      </c>
      <c r="F14" s="22">
        <f>+D14-E14</f>
        <v/>
      </c>
    </row>
    <row r="15" ht="15.6" customHeight="1">
      <c r="A15" s="38">
        <f>+Master!A15</f>
        <v/>
      </c>
      <c r="B15" s="39">
        <f>+Master!B15</f>
        <v/>
      </c>
      <c r="C15" s="39">
        <f>+Master!C15</f>
        <v/>
      </c>
      <c r="D15" s="22">
        <f>SUMIFS(Purchase!E:E,Purchase!D:D,B15)</f>
        <v/>
      </c>
      <c r="E15" s="22">
        <f>SUMIFS(Use!D:D,Use!C:C,B15)</f>
        <v/>
      </c>
      <c r="F15" s="22">
        <f>+D15-E15</f>
        <v/>
      </c>
    </row>
    <row r="16" ht="15.6" customHeight="1">
      <c r="A16" s="38">
        <f>+Master!A16</f>
        <v/>
      </c>
      <c r="B16" s="39">
        <f>+Master!B16</f>
        <v/>
      </c>
      <c r="C16" s="39">
        <f>+Master!C16</f>
        <v/>
      </c>
      <c r="D16" s="22">
        <f>SUMIFS(Purchase!E:E,Purchase!D:D,B16)</f>
        <v/>
      </c>
      <c r="E16" s="22">
        <f>SUMIFS(Use!D:D,Use!C:C,B16)</f>
        <v/>
      </c>
      <c r="F16" s="22">
        <f>+D16-E16</f>
        <v/>
      </c>
    </row>
    <row r="17" ht="15.6" customHeight="1">
      <c r="A17" s="38">
        <f>+Master!A17</f>
        <v/>
      </c>
      <c r="B17" s="39">
        <f>+Master!B17</f>
        <v/>
      </c>
      <c r="C17" s="39">
        <f>+Master!C17</f>
        <v/>
      </c>
      <c r="D17" s="22">
        <f>SUMIFS(Purchase!E:E,Purchase!D:D,B17)</f>
        <v/>
      </c>
      <c r="E17" s="22">
        <f>SUMIFS(Use!D:D,Use!C:C,B17)</f>
        <v/>
      </c>
      <c r="F17" s="22">
        <f>+D17-E17</f>
        <v/>
      </c>
    </row>
    <row r="18" ht="15.6" customHeight="1">
      <c r="A18" s="38">
        <f>+Master!A18</f>
        <v/>
      </c>
      <c r="B18" s="39">
        <f>+Master!B18</f>
        <v/>
      </c>
      <c r="C18" s="39">
        <f>+Master!C18</f>
        <v/>
      </c>
      <c r="D18" s="22">
        <f>SUMIFS(Purchase!E:E,Purchase!D:D,B18)</f>
        <v/>
      </c>
      <c r="E18" s="22">
        <f>SUMIFS(Use!D:D,Use!C:C,B18)</f>
        <v/>
      </c>
      <c r="F18" s="22">
        <f>+D18-E18</f>
        <v/>
      </c>
    </row>
    <row r="19" ht="15.6" customHeight="1">
      <c r="A19" s="38">
        <f>+Master!A19</f>
        <v/>
      </c>
      <c r="B19" s="39">
        <f>+Master!B19</f>
        <v/>
      </c>
      <c r="C19" s="39">
        <f>+Master!C19</f>
        <v/>
      </c>
      <c r="D19" s="22">
        <f>SUMIFS(Purchase!E:E,Purchase!D:D,B19)</f>
        <v/>
      </c>
      <c r="E19" s="22">
        <f>SUMIFS(Use!D:D,Use!C:C,B19)</f>
        <v/>
      </c>
      <c r="F19" s="22">
        <f>+D19-E19</f>
        <v/>
      </c>
    </row>
    <row r="20" ht="15.6" customHeight="1">
      <c r="A20" s="38">
        <f>+Master!A20</f>
        <v/>
      </c>
      <c r="B20" s="39">
        <f>+Master!B20</f>
        <v/>
      </c>
      <c r="C20" s="39">
        <f>+Master!C20</f>
        <v/>
      </c>
      <c r="D20" s="22">
        <f>SUMIFS(Purchase!E:E,Purchase!D:D,B20)</f>
        <v/>
      </c>
      <c r="E20" s="22">
        <f>SUMIFS(Use!D:D,Use!C:C,B20)</f>
        <v/>
      </c>
      <c r="F20" s="22">
        <f>+D20-E20</f>
        <v/>
      </c>
    </row>
    <row r="21" ht="15.6" customHeight="1">
      <c r="A21" s="38">
        <f>+Master!A21</f>
        <v/>
      </c>
      <c r="B21" s="39">
        <f>+Master!B21</f>
        <v/>
      </c>
      <c r="C21" s="39">
        <f>+Master!C21</f>
        <v/>
      </c>
      <c r="D21" s="22">
        <f>SUMIFS(Purchase!E:E,Purchase!D:D,B21)</f>
        <v/>
      </c>
      <c r="E21" s="22">
        <f>SUMIFS(Use!D:D,Use!C:C,B21)</f>
        <v/>
      </c>
      <c r="F21" s="22">
        <f>+D21-E21</f>
        <v/>
      </c>
    </row>
    <row r="22" ht="15.6" customHeight="1">
      <c r="A22" s="38">
        <f>+Master!A22</f>
        <v/>
      </c>
      <c r="B22" s="39">
        <f>+Master!B22</f>
        <v/>
      </c>
      <c r="C22" s="39">
        <f>+Master!C22</f>
        <v/>
      </c>
      <c r="D22" s="22">
        <f>SUMIFS(Purchase!E:E,Purchase!D:D,B22)</f>
        <v/>
      </c>
      <c r="E22" s="22">
        <f>SUMIFS(Use!D:D,Use!C:C,B22)</f>
        <v/>
      </c>
      <c r="F22" s="22">
        <f>+D22-E22</f>
        <v/>
      </c>
    </row>
    <row r="23" ht="15.6" customHeight="1">
      <c r="A23" s="38">
        <f>+Master!A23</f>
        <v/>
      </c>
      <c r="B23" s="39">
        <f>+Master!B23</f>
        <v/>
      </c>
      <c r="C23" s="39">
        <f>+Master!C23</f>
        <v/>
      </c>
      <c r="D23" s="22">
        <f>SUMIFS(Purchase!E:E,Purchase!D:D,B23)</f>
        <v/>
      </c>
      <c r="E23" s="22">
        <f>SUMIFS(Use!D:D,Use!C:C,B23)</f>
        <v/>
      </c>
      <c r="F23" s="22">
        <f>+D23-E23</f>
        <v/>
      </c>
    </row>
    <row r="24" ht="15.6" customHeight="1">
      <c r="A24" s="38">
        <f>+Master!A24</f>
        <v/>
      </c>
      <c r="B24" s="39">
        <f>+Master!B24</f>
        <v/>
      </c>
      <c r="C24" s="39">
        <f>+Master!C24</f>
        <v/>
      </c>
      <c r="D24" s="22">
        <f>SUMIFS(Purchase!E:E,Purchase!D:D,B24)</f>
        <v/>
      </c>
      <c r="E24" s="22">
        <f>SUMIFS(Use!D:D,Use!C:C,B24)</f>
        <v/>
      </c>
      <c r="F24" s="22">
        <f>+D24-E24</f>
        <v/>
      </c>
    </row>
    <row r="25" ht="15.6" customHeight="1">
      <c r="A25" s="38">
        <f>+Master!A25</f>
        <v/>
      </c>
      <c r="B25" s="39">
        <f>+Master!B25</f>
        <v/>
      </c>
      <c r="C25" s="39">
        <f>+Master!C25</f>
        <v/>
      </c>
      <c r="D25" s="22">
        <f>SUMIFS(Purchase!E:E,Purchase!D:D,B25)</f>
        <v/>
      </c>
      <c r="E25" s="22">
        <f>SUMIFS(Use!D:D,Use!C:C,B25)</f>
        <v/>
      </c>
      <c r="F25" s="22">
        <f>+D25-E25</f>
        <v/>
      </c>
    </row>
    <row r="26" ht="15.6" customHeight="1">
      <c r="A26" s="38">
        <f>+Master!A26</f>
        <v/>
      </c>
      <c r="B26" s="39">
        <f>+Master!B26</f>
        <v/>
      </c>
      <c r="C26" s="39">
        <f>+Master!C26</f>
        <v/>
      </c>
      <c r="D26" s="22">
        <f>SUMIFS(Purchase!E:E,Purchase!D:D,B26)</f>
        <v/>
      </c>
      <c r="E26" s="22">
        <f>SUMIFS(Use!D:D,Use!C:C,B26)</f>
        <v/>
      </c>
      <c r="F26" s="22">
        <f>+D26-E26</f>
        <v/>
      </c>
    </row>
    <row r="27" ht="15.6" customHeight="1">
      <c r="A27" s="38">
        <f>+Master!A27</f>
        <v/>
      </c>
      <c r="B27" s="39">
        <f>+Master!B27</f>
        <v/>
      </c>
      <c r="C27" s="39">
        <f>+Master!C27</f>
        <v/>
      </c>
      <c r="D27" s="22">
        <f>SUMIFS(Purchase!E:E,Purchase!D:D,B27)</f>
        <v/>
      </c>
      <c r="E27" s="22">
        <f>SUMIFS(Use!D:D,Use!C:C,B27)</f>
        <v/>
      </c>
      <c r="F27" s="22">
        <f>+D27-E27</f>
        <v/>
      </c>
    </row>
    <row r="28" ht="15.6" customHeight="1">
      <c r="A28" s="38">
        <f>+Master!A28</f>
        <v/>
      </c>
      <c r="B28" s="39">
        <f>+Master!B28</f>
        <v/>
      </c>
      <c r="C28" s="39">
        <f>+Master!C28</f>
        <v/>
      </c>
      <c r="D28" s="22">
        <f>SUMIFS(Purchase!E:E,Purchase!D:D,B28)</f>
        <v/>
      </c>
      <c r="E28" s="22">
        <f>SUMIFS(Use!D:D,Use!C:C,B28)</f>
        <v/>
      </c>
      <c r="F28" s="22">
        <f>+D28-E28</f>
        <v/>
      </c>
    </row>
    <row r="29" ht="15.6" customHeight="1">
      <c r="A29" s="38">
        <f>+Master!A29</f>
        <v/>
      </c>
      <c r="B29" s="39">
        <f>+Master!B29</f>
        <v/>
      </c>
      <c r="C29" s="39">
        <f>+Master!C29</f>
        <v/>
      </c>
      <c r="D29" s="22">
        <f>SUMIFS(Purchase!E:E,Purchase!D:D,B29)</f>
        <v/>
      </c>
      <c r="E29" s="22">
        <f>SUMIFS(Use!D:D,Use!C:C,B29)</f>
        <v/>
      </c>
      <c r="F29" s="22">
        <f>+D29-E29</f>
        <v/>
      </c>
    </row>
    <row r="30" ht="15.6" customHeight="1">
      <c r="A30" s="38">
        <f>+Master!A30</f>
        <v/>
      </c>
      <c r="B30" s="39">
        <f>+Master!B30</f>
        <v/>
      </c>
      <c r="C30" s="39">
        <f>+Master!C30</f>
        <v/>
      </c>
      <c r="D30" s="22">
        <f>SUMIFS(Purchase!E:E,Purchase!D:D,B30)</f>
        <v/>
      </c>
      <c r="E30" s="22">
        <f>SUMIFS(Use!D:D,Use!C:C,B30)</f>
        <v/>
      </c>
      <c r="F30" s="22">
        <f>+D30-E30</f>
        <v/>
      </c>
    </row>
    <row r="31" ht="15.6" customHeight="1">
      <c r="A31" s="38">
        <f>+Master!A31</f>
        <v/>
      </c>
      <c r="B31" s="39">
        <f>+Master!B31</f>
        <v/>
      </c>
      <c r="C31" s="39">
        <f>+Master!C31</f>
        <v/>
      </c>
      <c r="D31" s="22">
        <f>SUMIFS(Purchase!E:E,Purchase!D:D,B31)</f>
        <v/>
      </c>
      <c r="E31" s="22">
        <f>SUMIFS(Use!D:D,Use!C:C,B31)</f>
        <v/>
      </c>
      <c r="F31" s="22">
        <f>+D31-E31</f>
        <v/>
      </c>
    </row>
    <row r="32" ht="15.6" customHeight="1">
      <c r="A32" s="38">
        <f>+Master!A32</f>
        <v/>
      </c>
      <c r="B32" s="39">
        <f>+Master!B32</f>
        <v/>
      </c>
      <c r="C32" s="39">
        <f>+Master!C32</f>
        <v/>
      </c>
      <c r="D32" s="22">
        <f>SUMIFS(Purchase!E:E,Purchase!D:D,B32)</f>
        <v/>
      </c>
      <c r="E32" s="22">
        <f>SUMIFS(Use!D:D,Use!C:C,B32)</f>
        <v/>
      </c>
      <c r="F32" s="22">
        <f>+D32-E32</f>
        <v/>
      </c>
    </row>
    <row r="33" ht="15.6" customHeight="1">
      <c r="A33" s="38">
        <f>+Master!A33</f>
        <v/>
      </c>
      <c r="B33" s="39">
        <f>+Master!B33</f>
        <v/>
      </c>
      <c r="C33" s="39">
        <f>+Master!C33</f>
        <v/>
      </c>
      <c r="D33" s="22">
        <f>SUMIFS(Purchase!E:E,Purchase!D:D,B33)</f>
        <v/>
      </c>
      <c r="E33" s="22">
        <f>SUMIFS(Use!D:D,Use!C:C,B33)</f>
        <v/>
      </c>
      <c r="F33" s="22">
        <f>+D33-E33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14" customWidth="1" min="4" max="4"/>
    <col width="18" customWidth="1" min="5" max="5"/>
    <col width="16" customWidth="1" min="6" max="6"/>
    <col width="24" customWidth="1" min="7" max="7"/>
    <col width="28" customWidth="1" min="8" max="8"/>
    <col width="18" customWidth="1" min="9" max="9"/>
    <col width="10" customWidth="1" min="10" max="10"/>
    <col width="14" customWidth="1" min="11" max="11"/>
    <col width="14" customWidth="1" min="12" max="12"/>
    <col width="28" customWidth="1" min="13" max="13"/>
    <col width="16" customWidth="1" min="14" max="14"/>
  </cols>
  <sheetData>
    <row r="1" ht="15" customHeight="1"/>
    <row r="2" ht="32" customHeight="1">
      <c r="B2" s="40" t="inlineStr">
        <is>
          <t>RCS Canteen — Supplier Master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Supplier Name</t>
        </is>
      </c>
      <c r="D4" s="41" t="inlineStr">
        <is>
          <t>Category</t>
        </is>
      </c>
      <c r="E4" s="41" t="inlineStr">
        <is>
          <t>Contact Person</t>
        </is>
      </c>
      <c r="F4" s="41" t="inlineStr">
        <is>
          <t>Phone</t>
        </is>
      </c>
      <c r="G4" s="41" t="inlineStr">
        <is>
          <t>Email</t>
        </is>
      </c>
      <c r="H4" s="41" t="inlineStr">
        <is>
          <t>Address</t>
        </is>
      </c>
      <c r="I4" s="41" t="inlineStr">
        <is>
          <t>GSTIN</t>
        </is>
      </c>
      <c r="J4" s="41" t="inlineStr">
        <is>
          <t>Rating</t>
        </is>
      </c>
      <c r="K4" s="41" t="inlineStr">
        <is>
          <t>On-Time Rate</t>
        </is>
      </c>
      <c r="L4" s="41" t="inlineStr">
        <is>
          <t>Quality Score</t>
        </is>
      </c>
      <c r="M4" s="41" t="inlineStr">
        <is>
          <t>Notes</t>
        </is>
      </c>
      <c r="N4" s="41" t="inlineStr">
        <is>
          <t>Last Order Date</t>
        </is>
      </c>
    </row>
    <row r="5" ht="22" customHeight="1">
      <c r="B5" s="42" t="n">
        <v>1</v>
      </c>
      <c r="C5" s="42" t="inlineStr">
        <is>
          <t>Fresh Meats</t>
        </is>
      </c>
      <c r="D5" s="42" t="inlineStr">
        <is>
          <t>Meat</t>
        </is>
      </c>
      <c r="E5" s="42" t="inlineStr"/>
      <c r="F5" s="42" t="inlineStr"/>
      <c r="G5" s="42" t="inlineStr"/>
      <c r="H5" s="42" t="inlineStr"/>
      <c r="I5" s="42" t="inlineStr"/>
      <c r="J5" s="43" t="n"/>
      <c r="K5" s="44" t="n"/>
      <c r="L5" s="43" t="n"/>
      <c r="M5" s="42" t="inlineStr"/>
      <c r="N5" s="42" t="inlineStr"/>
    </row>
    <row r="6" ht="22" customHeight="1">
      <c r="B6" s="45" t="n">
        <v>2</v>
      </c>
      <c r="C6" s="45" t="inlineStr">
        <is>
          <t>Rajesh Grains</t>
        </is>
      </c>
      <c r="D6" s="45" t="inlineStr">
        <is>
          <t>Grains</t>
        </is>
      </c>
      <c r="E6" s="45" t="inlineStr"/>
      <c r="F6" s="45" t="inlineStr"/>
      <c r="G6" s="45" t="inlineStr"/>
      <c r="H6" s="45" t="inlineStr"/>
      <c r="I6" s="45" t="inlineStr"/>
      <c r="J6" s="46" t="n"/>
      <c r="K6" s="47" t="n"/>
      <c r="L6" s="46" t="n"/>
      <c r="M6" s="45" t="inlineStr"/>
      <c r="N6" s="45" t="inlineStr"/>
    </row>
    <row r="7" ht="22" customHeight="1">
      <c r="B7" s="42" t="n">
        <v>3</v>
      </c>
      <c r="C7" s="42" t="inlineStr">
        <is>
          <t>Local Market</t>
        </is>
      </c>
      <c r="D7" s="42" t="inlineStr">
        <is>
          <t>Vegetables</t>
        </is>
      </c>
      <c r="E7" s="42" t="inlineStr"/>
      <c r="F7" s="42" t="inlineStr"/>
      <c r="G7" s="42" t="inlineStr"/>
      <c r="H7" s="42" t="inlineStr"/>
      <c r="I7" s="42" t="inlineStr"/>
      <c r="J7" s="43" t="n"/>
      <c r="K7" s="44" t="n"/>
      <c r="L7" s="43" t="n"/>
      <c r="M7" s="42" t="inlineStr"/>
      <c r="N7" s="42" t="inlineStr"/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8" customWidth="1" min="3" max="3"/>
    <col width="10" customWidth="1" min="4" max="4"/>
    <col width="14" customWidth="1" min="5" max="5"/>
    <col width="16" customWidth="1" min="6" max="6"/>
    <col width="14" customWidth="1" min="7" max="7"/>
    <col width="20" customWidth="1" min="8" max="8"/>
    <col width="14" customWidth="1" min="9" max="9"/>
    <col width="18" customWidth="1" min="10" max="10"/>
  </cols>
  <sheetData>
    <row r="1" ht="15" customHeight="1"/>
    <row r="2" ht="32" customHeight="1">
      <c r="B2" s="40" t="inlineStr">
        <is>
          <t>RCS Canteen — Ingredient Master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Ingredient</t>
        </is>
      </c>
      <c r="D4" s="41" t="inlineStr">
        <is>
          <t>Unit</t>
        </is>
      </c>
      <c r="E4" s="41" t="inlineStr">
        <is>
          <t>Category</t>
        </is>
      </c>
      <c r="F4" s="41" t="inlineStr">
        <is>
          <t>Current Stock</t>
        </is>
      </c>
      <c r="G4" s="41" t="inlineStr">
        <is>
          <t>Min Stock</t>
        </is>
      </c>
      <c r="H4" s="41" t="inlineStr">
        <is>
          <t>Last Purchase Price</t>
        </is>
      </c>
      <c r="I4" s="41" t="inlineStr">
        <is>
          <t>Avg Cost</t>
        </is>
      </c>
      <c r="J4" s="41" t="inlineStr">
        <is>
          <t>Supplier</t>
        </is>
      </c>
    </row>
    <row r="5" ht="22" customHeight="1">
      <c r="B5" s="42" t="n">
        <v>1</v>
      </c>
      <c r="C5" s="42" t="inlineStr">
        <is>
          <t>Hari Mirch</t>
        </is>
      </c>
      <c r="D5" s="42" t="inlineStr">
        <is>
          <t>kg</t>
        </is>
      </c>
      <c r="E5" s="42" t="inlineStr">
        <is>
          <t>Vegetables</t>
        </is>
      </c>
      <c r="F5" s="48" t="n">
        <v>2</v>
      </c>
      <c r="G5" s="48" t="n">
        <v>40</v>
      </c>
      <c r="H5" s="49" t="n">
        <v>38</v>
      </c>
      <c r="I5" s="49" t="n">
        <v>38</v>
      </c>
      <c r="J5" s="42" t="inlineStr">
        <is>
          <t>Local Market</t>
        </is>
      </c>
    </row>
    <row r="6" ht="22" customHeight="1">
      <c r="B6" s="45" t="n">
        <v>2</v>
      </c>
      <c r="C6" s="45" t="inlineStr">
        <is>
          <t>Aloo</t>
        </is>
      </c>
      <c r="D6" s="45" t="inlineStr">
        <is>
          <t>kg</t>
        </is>
      </c>
      <c r="E6" s="45" t="inlineStr">
        <is>
          <t>Vegetables</t>
        </is>
      </c>
      <c r="F6" s="50" t="n">
        <v>15</v>
      </c>
      <c r="G6" s="50" t="n">
        <v>20</v>
      </c>
      <c r="H6" s="51" t="n">
        <v>22</v>
      </c>
      <c r="I6" s="51" t="n">
        <v>22</v>
      </c>
      <c r="J6" s="45" t="inlineStr">
        <is>
          <t>Local Market</t>
        </is>
      </c>
    </row>
    <row r="7" ht="22" customHeight="1">
      <c r="B7" s="42" t="n">
        <v>3</v>
      </c>
      <c r="C7" s="42" t="inlineStr">
        <is>
          <t>Adrak</t>
        </is>
      </c>
      <c r="D7" s="42" t="inlineStr">
        <is>
          <t>kg</t>
        </is>
      </c>
      <c r="E7" s="42" t="inlineStr">
        <is>
          <t>Vegetables</t>
        </is>
      </c>
      <c r="F7" s="48" t="n">
        <v>2</v>
      </c>
      <c r="G7" s="48" t="n">
        <v>60</v>
      </c>
      <c r="H7" s="49" t="n">
        <v>55</v>
      </c>
      <c r="I7" s="49" t="n">
        <v>55</v>
      </c>
      <c r="J7" s="42" t="inlineStr">
        <is>
          <t>Local Market</t>
        </is>
      </c>
    </row>
    <row r="8" ht="22" customHeight="1">
      <c r="B8" s="45" t="n">
        <v>4</v>
      </c>
      <c r="C8" s="45" t="inlineStr">
        <is>
          <t>EGG</t>
        </is>
      </c>
      <c r="D8" s="45" t="inlineStr">
        <is>
          <t>pcs</t>
        </is>
      </c>
      <c r="E8" s="45" t="inlineStr">
        <is>
          <t>Dairy</t>
        </is>
      </c>
      <c r="F8" s="50" t="n">
        <v>100</v>
      </c>
      <c r="G8" s="50" t="n">
        <v>7</v>
      </c>
      <c r="H8" s="51" t="n">
        <v>6.5</v>
      </c>
      <c r="I8" s="51" t="n">
        <v>6.5</v>
      </c>
      <c r="J8" s="45" t="inlineStr"/>
    </row>
    <row r="9" ht="22" customHeight="1">
      <c r="B9" s="42" t="n">
        <v>5</v>
      </c>
      <c r="C9" s="42" t="inlineStr">
        <is>
          <t>Haldi-P</t>
        </is>
      </c>
      <c r="D9" s="42" t="inlineStr">
        <is>
          <t>kg</t>
        </is>
      </c>
      <c r="E9" s="42" t="inlineStr">
        <is>
          <t>Spices</t>
        </is>
      </c>
      <c r="F9" s="48" t="n">
        <v>1</v>
      </c>
      <c r="G9" s="48" t="n">
        <v>400</v>
      </c>
      <c r="H9" s="49" t="n">
        <v>380</v>
      </c>
      <c r="I9" s="49" t="n">
        <v>380</v>
      </c>
      <c r="J9" s="42" t="inlineStr"/>
    </row>
    <row r="10" ht="22" customHeight="1">
      <c r="B10" s="45" t="n">
        <v>6</v>
      </c>
      <c r="C10" s="45" t="inlineStr">
        <is>
          <t>Mirch-P</t>
        </is>
      </c>
      <c r="D10" s="45" t="inlineStr">
        <is>
          <t>kg</t>
        </is>
      </c>
      <c r="E10" s="45" t="inlineStr">
        <is>
          <t>Spices</t>
        </is>
      </c>
      <c r="F10" s="50" t="n">
        <v>1</v>
      </c>
      <c r="G10" s="50" t="n">
        <v>350</v>
      </c>
      <c r="H10" s="51" t="n">
        <v>340</v>
      </c>
      <c r="I10" s="51" t="n">
        <v>340</v>
      </c>
      <c r="J10" s="45" t="inlineStr"/>
    </row>
    <row r="11" ht="22" customHeight="1">
      <c r="B11" s="42" t="n">
        <v>7</v>
      </c>
      <c r="C11" s="42" t="inlineStr">
        <is>
          <t>Galka</t>
        </is>
      </c>
      <c r="D11" s="42" t="inlineStr">
        <is>
          <t>kg</t>
        </is>
      </c>
      <c r="E11" s="42" t="inlineStr">
        <is>
          <t>Vegetables</t>
        </is>
      </c>
      <c r="F11" s="48" t="n">
        <v>5</v>
      </c>
      <c r="G11" s="48" t="n">
        <v>25</v>
      </c>
      <c r="H11" s="49" t="n">
        <v>23</v>
      </c>
      <c r="I11" s="49" t="n">
        <v>23</v>
      </c>
      <c r="J11" s="42" t="inlineStr">
        <is>
          <t>Local Market</t>
        </is>
      </c>
    </row>
    <row r="12" ht="22" customHeight="1">
      <c r="B12" s="45" t="n">
        <v>8</v>
      </c>
      <c r="C12" s="45" t="inlineStr">
        <is>
          <t>Onion</t>
        </is>
      </c>
      <c r="D12" s="45" t="inlineStr">
        <is>
          <t>kg</t>
        </is>
      </c>
      <c r="E12" s="45" t="inlineStr">
        <is>
          <t>Vegetables</t>
        </is>
      </c>
      <c r="F12" s="50" t="n">
        <v>10</v>
      </c>
      <c r="G12" s="50" t="n">
        <v>25</v>
      </c>
      <c r="H12" s="51" t="n">
        <v>28</v>
      </c>
      <c r="I12" s="51" t="n">
        <v>28</v>
      </c>
      <c r="J12" s="45" t="inlineStr">
        <is>
          <t>Local Market</t>
        </is>
      </c>
    </row>
    <row r="13" ht="22" customHeight="1">
      <c r="B13" s="42" t="n">
        <v>9</v>
      </c>
      <c r="C13" s="42" t="inlineStr">
        <is>
          <t>Salt</t>
        </is>
      </c>
      <c r="D13" s="42" t="inlineStr">
        <is>
          <t>kg</t>
        </is>
      </c>
      <c r="E13" s="42" t="inlineStr">
        <is>
          <t>Spices</t>
        </is>
      </c>
      <c r="F13" s="48" t="n">
        <v>5</v>
      </c>
      <c r="G13" s="48" t="n">
        <v>10</v>
      </c>
      <c r="H13" s="49" t="n">
        <v>10</v>
      </c>
      <c r="I13" s="49" t="n">
        <v>10</v>
      </c>
      <c r="J13" s="42" t="inlineStr"/>
    </row>
    <row r="14" ht="22" customHeight="1">
      <c r="B14" s="45" t="n">
        <v>10</v>
      </c>
      <c r="C14" s="45" t="inlineStr">
        <is>
          <t>Tej Patta</t>
        </is>
      </c>
      <c r="D14" s="45" t="inlineStr">
        <is>
          <t>kg</t>
        </is>
      </c>
      <c r="E14" s="45" t="inlineStr">
        <is>
          <t>Spices</t>
        </is>
      </c>
      <c r="F14" s="50" t="n">
        <v>0.5</v>
      </c>
      <c r="G14" s="50" t="n">
        <v>600</v>
      </c>
      <c r="H14" s="51" t="n">
        <v>580</v>
      </c>
      <c r="I14" s="51" t="n">
        <v>580</v>
      </c>
      <c r="J14" s="45" t="inlineStr"/>
    </row>
    <row r="15" ht="22" customHeight="1">
      <c r="B15" s="42" t="n">
        <v>11</v>
      </c>
      <c r="C15" s="42" t="inlineStr">
        <is>
          <t>Jeera</t>
        </is>
      </c>
      <c r="D15" s="42" t="inlineStr">
        <is>
          <t>kg</t>
        </is>
      </c>
      <c r="E15" s="42" t="inlineStr">
        <is>
          <t>Spices</t>
        </is>
      </c>
      <c r="F15" s="48" t="n">
        <v>0.5</v>
      </c>
      <c r="G15" s="48" t="n">
        <v>500</v>
      </c>
      <c r="H15" s="49" t="n">
        <v>480</v>
      </c>
      <c r="I15" s="49" t="n">
        <v>480</v>
      </c>
      <c r="J15" s="42" t="inlineStr"/>
    </row>
    <row r="16" ht="22" customHeight="1">
      <c r="B16" s="45" t="n">
        <v>12</v>
      </c>
      <c r="C16" s="45" t="inlineStr">
        <is>
          <t>Akha Masala</t>
        </is>
      </c>
      <c r="D16" s="45" t="inlineStr">
        <is>
          <t>kg</t>
        </is>
      </c>
      <c r="E16" s="45" t="inlineStr">
        <is>
          <t>Spices</t>
        </is>
      </c>
      <c r="F16" s="50" t="n">
        <v>0.5</v>
      </c>
      <c r="G16" s="50" t="n">
        <v>500</v>
      </c>
      <c r="H16" s="51" t="n">
        <v>480</v>
      </c>
      <c r="I16" s="51" t="n">
        <v>480</v>
      </c>
      <c r="J16" s="45" t="inlineStr"/>
    </row>
    <row r="17" ht="22" customHeight="1">
      <c r="B17" s="42" t="n">
        <v>13</v>
      </c>
      <c r="C17" s="42" t="inlineStr">
        <is>
          <t>Dal Toor</t>
        </is>
      </c>
      <c r="D17" s="42" t="inlineStr">
        <is>
          <t>kg</t>
        </is>
      </c>
      <c r="E17" s="42" t="inlineStr">
        <is>
          <t>Pulses</t>
        </is>
      </c>
      <c r="F17" s="48" t="n">
        <v>20</v>
      </c>
      <c r="G17" s="48" t="n">
        <v>120</v>
      </c>
      <c r="H17" s="49" t="n">
        <v>115</v>
      </c>
      <c r="I17" s="49" t="n">
        <v>115</v>
      </c>
      <c r="J17" s="42" t="inlineStr"/>
    </row>
    <row r="18" ht="22" customHeight="1">
      <c r="B18" s="45" t="n">
        <v>14</v>
      </c>
      <c r="C18" s="45" t="inlineStr">
        <is>
          <t>Lehsun</t>
        </is>
      </c>
      <c r="D18" s="45" t="inlineStr">
        <is>
          <t>kg</t>
        </is>
      </c>
      <c r="E18" s="45" t="inlineStr">
        <is>
          <t>Vegetables</t>
        </is>
      </c>
      <c r="F18" s="50" t="n">
        <v>2</v>
      </c>
      <c r="G18" s="50" t="n">
        <v>80</v>
      </c>
      <c r="H18" s="51" t="n">
        <v>75</v>
      </c>
      <c r="I18" s="51" t="n">
        <v>75</v>
      </c>
      <c r="J18" s="45" t="inlineStr">
        <is>
          <t>Local Market</t>
        </is>
      </c>
    </row>
    <row r="19" ht="22" customHeight="1">
      <c r="B19" s="42" t="n">
        <v>15</v>
      </c>
      <c r="C19" s="42" t="inlineStr">
        <is>
          <t>FISH</t>
        </is>
      </c>
      <c r="D19" s="42" t="inlineStr">
        <is>
          <t>kg</t>
        </is>
      </c>
      <c r="E19" s="42" t="inlineStr">
        <is>
          <t>Meat</t>
        </is>
      </c>
      <c r="F19" s="48" t="n">
        <v>5</v>
      </c>
      <c r="G19" s="48" t="n">
        <v>300</v>
      </c>
      <c r="H19" s="49" t="n">
        <v>290</v>
      </c>
      <c r="I19" s="49" t="n">
        <v>290</v>
      </c>
      <c r="J19" s="42" t="inlineStr">
        <is>
          <t>Fresh Meats</t>
        </is>
      </c>
    </row>
    <row r="20" ht="22" customHeight="1">
      <c r="B20" s="45" t="n">
        <v>16</v>
      </c>
      <c r="C20" s="45" t="inlineStr">
        <is>
          <t>Sukha Mirch</t>
        </is>
      </c>
      <c r="D20" s="45" t="inlineStr">
        <is>
          <t>kg</t>
        </is>
      </c>
      <c r="E20" s="45" t="inlineStr">
        <is>
          <t>Spices</t>
        </is>
      </c>
      <c r="F20" s="50" t="n">
        <v>1</v>
      </c>
      <c r="G20" s="50" t="n">
        <v>300</v>
      </c>
      <c r="H20" s="51" t="n">
        <v>290</v>
      </c>
      <c r="I20" s="51" t="n">
        <v>290</v>
      </c>
      <c r="J20" s="45" t="inlineStr"/>
    </row>
    <row r="21" ht="22" customHeight="1">
      <c r="B21" s="42" t="n">
        <v>17</v>
      </c>
      <c r="C21" s="42" t="inlineStr">
        <is>
          <t>Rice</t>
        </is>
      </c>
      <c r="D21" s="42" t="inlineStr">
        <is>
          <t>kg</t>
        </is>
      </c>
      <c r="E21" s="42" t="inlineStr">
        <is>
          <t>Grains</t>
        </is>
      </c>
      <c r="F21" s="48" t="n">
        <v>50</v>
      </c>
      <c r="G21" s="48" t="n">
        <v>45</v>
      </c>
      <c r="H21" s="49" t="n">
        <v>43</v>
      </c>
      <c r="I21" s="49" t="n">
        <v>43</v>
      </c>
      <c r="J21" s="42" t="inlineStr">
        <is>
          <t>Rajesh Grains</t>
        </is>
      </c>
    </row>
    <row r="22" ht="22" customHeight="1">
      <c r="B22" s="45" t="n">
        <v>18</v>
      </c>
      <c r="C22" s="45" t="inlineStr">
        <is>
          <t>Dhania P</t>
        </is>
      </c>
      <c r="D22" s="45" t="inlineStr">
        <is>
          <t>kg</t>
        </is>
      </c>
      <c r="E22" s="45" t="inlineStr">
        <is>
          <t>Spices</t>
        </is>
      </c>
      <c r="F22" s="50" t="n">
        <v>0.5</v>
      </c>
      <c r="G22" s="50" t="n">
        <v>350</v>
      </c>
      <c r="H22" s="51" t="n">
        <v>340</v>
      </c>
      <c r="I22" s="51" t="n">
        <v>340</v>
      </c>
      <c r="J22" s="45" t="inlineStr"/>
    </row>
    <row r="23" ht="22" customHeight="1">
      <c r="B23" s="42" t="n">
        <v>19</v>
      </c>
      <c r="C23" s="42" t="inlineStr">
        <is>
          <t>Rai</t>
        </is>
      </c>
      <c r="D23" s="42" t="inlineStr">
        <is>
          <t>kg</t>
        </is>
      </c>
      <c r="E23" s="42" t="inlineStr">
        <is>
          <t>Spices</t>
        </is>
      </c>
      <c r="F23" s="48" t="n">
        <v>0.5</v>
      </c>
      <c r="G23" s="48" t="n">
        <v>300</v>
      </c>
      <c r="H23" s="49" t="n">
        <v>290</v>
      </c>
      <c r="I23" s="49" t="n">
        <v>290</v>
      </c>
      <c r="J23" s="42" t="inlineStr"/>
    </row>
    <row r="24" ht="22" customHeight="1">
      <c r="B24" s="45" t="n">
        <v>20</v>
      </c>
      <c r="C24" s="45" t="inlineStr">
        <is>
          <t>Garam Masala</t>
        </is>
      </c>
      <c r="D24" s="45" t="inlineStr">
        <is>
          <t>kg</t>
        </is>
      </c>
      <c r="E24" s="45" t="inlineStr">
        <is>
          <t>Spices</t>
        </is>
      </c>
      <c r="F24" s="50" t="n">
        <v>0.5</v>
      </c>
      <c r="G24" s="50" t="n">
        <v>450</v>
      </c>
      <c r="H24" s="51" t="n">
        <v>430</v>
      </c>
      <c r="I24" s="51" t="n">
        <v>430</v>
      </c>
      <c r="J24" s="45" t="inlineStr"/>
    </row>
    <row r="25" ht="22" customHeight="1">
      <c r="B25" s="42" t="n">
        <v>21</v>
      </c>
      <c r="C25" s="42" t="inlineStr">
        <is>
          <t>Oil</t>
        </is>
      </c>
      <c r="D25" s="42" t="inlineStr">
        <is>
          <t>litre</t>
        </is>
      </c>
      <c r="E25" s="42" t="inlineStr">
        <is>
          <t>Oil</t>
        </is>
      </c>
      <c r="F25" s="48" t="n">
        <v>15</v>
      </c>
      <c r="G25" s="48" t="n">
        <v>150</v>
      </c>
      <c r="H25" s="49" t="n">
        <v>145</v>
      </c>
      <c r="I25" s="49" t="n">
        <v>145</v>
      </c>
      <c r="J25" s="42" t="inlineStr"/>
    </row>
    <row r="26" ht="22" customHeight="1">
      <c r="B26" s="45" t="n">
        <v>22</v>
      </c>
      <c r="C26" s="45" t="inlineStr">
        <is>
          <t>Tomato</t>
        </is>
      </c>
      <c r="D26" s="45" t="inlineStr">
        <is>
          <t>kg</t>
        </is>
      </c>
      <c r="E26" s="45" t="inlineStr">
        <is>
          <t>Vegetables</t>
        </is>
      </c>
      <c r="F26" s="50" t="n">
        <v>10</v>
      </c>
      <c r="G26" s="50" t="n">
        <v>30</v>
      </c>
      <c r="H26" s="51" t="n">
        <v>32</v>
      </c>
      <c r="I26" s="51" t="n">
        <v>32</v>
      </c>
      <c r="J26" s="45" t="inlineStr">
        <is>
          <t>Local Market</t>
        </is>
      </c>
    </row>
    <row r="27" ht="22" customHeight="1">
      <c r="B27" s="42" t="n">
        <v>23</v>
      </c>
      <c r="C27" s="42" t="inlineStr">
        <is>
          <t>CHICKEN</t>
        </is>
      </c>
      <c r="D27" s="42" t="inlineStr">
        <is>
          <t>kg</t>
        </is>
      </c>
      <c r="E27" s="42" t="inlineStr">
        <is>
          <t>Meat</t>
        </is>
      </c>
      <c r="F27" s="48" t="n">
        <v>10</v>
      </c>
      <c r="G27" s="48" t="n">
        <v>240</v>
      </c>
      <c r="H27" s="49" t="n">
        <v>235</v>
      </c>
      <c r="I27" s="49" t="n">
        <v>235</v>
      </c>
      <c r="J27" s="42" t="inlineStr">
        <is>
          <t>Fresh Meats</t>
        </is>
      </c>
    </row>
    <row r="28" ht="22" customHeight="1">
      <c r="B28" s="45" t="n">
        <v>24</v>
      </c>
      <c r="C28" s="45" t="inlineStr">
        <is>
          <t>Atta</t>
        </is>
      </c>
      <c r="D28" s="45" t="inlineStr">
        <is>
          <t>kg</t>
        </is>
      </c>
      <c r="E28" s="45" t="inlineStr">
        <is>
          <t>Grains</t>
        </is>
      </c>
      <c r="F28" s="50" t="n">
        <v>30</v>
      </c>
      <c r="G28" s="50" t="n">
        <v>35</v>
      </c>
      <c r="H28" s="51" t="n">
        <v>34</v>
      </c>
      <c r="I28" s="51" t="n">
        <v>34</v>
      </c>
      <c r="J28" s="45" t="inlineStr">
        <is>
          <t>Rajesh Grains</t>
        </is>
      </c>
    </row>
  </sheetData>
  <mergeCells count="1"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30" customWidth="1" min="4" max="4"/>
    <col width="12" customWidth="1" min="5" max="5"/>
    <col width="16" customWidth="1" min="6" max="6"/>
    <col width="36" customWidth="1" min="7" max="7"/>
  </cols>
  <sheetData>
    <row r="1" ht="15" customHeight="1"/>
    <row r="2" ht="32" customHeight="1">
      <c r="B2" s="40" t="inlineStr">
        <is>
          <t>RCS Canteen — Recipe Master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Recipe Name</t>
        </is>
      </c>
      <c r="D4" s="41" t="inlineStr">
        <is>
          <t>Description</t>
        </is>
      </c>
      <c r="E4" s="41" t="inlineStr">
        <is>
          <t>Meal Type</t>
        </is>
      </c>
      <c r="F4" s="41" t="inlineStr">
        <is>
          <t>Base Servings</t>
        </is>
      </c>
      <c r="G4" s="41" t="inlineStr">
        <is>
          <t>Instructions</t>
        </is>
      </c>
    </row>
    <row r="5" ht="22" customHeight="1">
      <c r="B5" s="42" t="n">
        <v>1</v>
      </c>
      <c r="C5" s="42" t="inlineStr">
        <is>
          <t>Chicken Curry</t>
        </is>
      </c>
      <c r="D5" s="42" t="inlineStr">
        <is>
          <t>Spicy chicken curry lunch</t>
        </is>
      </c>
      <c r="E5" s="42" t="inlineStr">
        <is>
          <t>Lunch</t>
        </is>
      </c>
      <c r="F5" s="42" t="n">
        <v>100</v>
      </c>
      <c r="G5" s="42" t="inlineStr"/>
    </row>
    <row r="6" ht="22" customHeight="1">
      <c r="B6" s="45" t="n">
        <v>2</v>
      </c>
      <c r="C6" s="45" t="inlineStr">
        <is>
          <t>Dal Rice</t>
        </is>
      </c>
      <c r="D6" s="45" t="inlineStr">
        <is>
          <t>Classic dal rice lunch</t>
        </is>
      </c>
      <c r="E6" s="45" t="inlineStr">
        <is>
          <t>Lunch</t>
        </is>
      </c>
      <c r="F6" s="45" t="n">
        <v>100</v>
      </c>
      <c r="G6" s="45" t="inlineStr"/>
    </row>
  </sheetData>
  <mergeCells count="1">
    <mergeCell ref="B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8" customWidth="1" min="4" max="4"/>
    <col width="14" customWidth="1" min="5" max="5"/>
    <col width="10" customWidth="1" min="6" max="6"/>
  </cols>
  <sheetData>
    <row r="1" ht="15" customHeight="1"/>
    <row r="2" ht="32" customHeight="1">
      <c r="B2" s="40" t="inlineStr">
        <is>
          <t>RCS Canteen — Recipe Ingredients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Recipe</t>
        </is>
      </c>
      <c r="D4" s="41" t="inlineStr">
        <is>
          <t>Ingredient</t>
        </is>
      </c>
      <c r="E4" s="41" t="inlineStr">
        <is>
          <t>Quantity</t>
        </is>
      </c>
      <c r="F4" s="41" t="inlineStr">
        <is>
          <t>Unit</t>
        </is>
      </c>
    </row>
    <row r="5" ht="22" customHeight="1">
      <c r="B5" s="42" t="n">
        <v>1</v>
      </c>
      <c r="C5" s="42" t="inlineStr">
        <is>
          <t>Dal Rice</t>
        </is>
      </c>
      <c r="D5" s="42" t="inlineStr">
        <is>
          <t>Rice</t>
        </is>
      </c>
      <c r="E5" s="48" t="n">
        <v>15</v>
      </c>
      <c r="F5" s="42" t="inlineStr">
        <is>
          <t>kg</t>
        </is>
      </c>
    </row>
    <row r="6" ht="22" customHeight="1">
      <c r="B6" s="45" t="n">
        <v>2</v>
      </c>
      <c r="C6" s="45" t="inlineStr">
        <is>
          <t>Chicken Curry</t>
        </is>
      </c>
      <c r="D6" s="45" t="inlineStr">
        <is>
          <t>Oil</t>
        </is>
      </c>
      <c r="E6" s="50" t="n">
        <v>2</v>
      </c>
      <c r="F6" s="45" t="inlineStr">
        <is>
          <t>litre</t>
        </is>
      </c>
    </row>
    <row r="7" ht="22" customHeight="1">
      <c r="B7" s="42" t="n">
        <v>3</v>
      </c>
      <c r="C7" s="42" t="inlineStr">
        <is>
          <t>Dal Rice</t>
        </is>
      </c>
      <c r="D7" s="42" t="inlineStr">
        <is>
          <t>Dal Toor</t>
        </is>
      </c>
      <c r="E7" s="48" t="n">
        <v>8</v>
      </c>
      <c r="F7" s="42" t="inlineStr">
        <is>
          <t>kg</t>
        </is>
      </c>
    </row>
    <row r="8" ht="22" customHeight="1">
      <c r="B8" s="45" t="n">
        <v>4</v>
      </c>
      <c r="C8" s="45" t="inlineStr">
        <is>
          <t>Chicken Curry</t>
        </is>
      </c>
      <c r="D8" s="45" t="inlineStr">
        <is>
          <t>Lehsun</t>
        </is>
      </c>
      <c r="E8" s="50" t="n">
        <v>0.5</v>
      </c>
      <c r="F8" s="45" t="inlineStr">
        <is>
          <t>kg</t>
        </is>
      </c>
    </row>
    <row r="9" ht="22" customHeight="1">
      <c r="B9" s="42" t="n">
        <v>5</v>
      </c>
      <c r="C9" s="42" t="inlineStr">
        <is>
          <t>Dal Rice</t>
        </is>
      </c>
      <c r="D9" s="42" t="inlineStr">
        <is>
          <t>Salt</t>
        </is>
      </c>
      <c r="E9" s="48" t="n">
        <v>0.3</v>
      </c>
      <c r="F9" s="42" t="inlineStr">
        <is>
          <t>kg</t>
        </is>
      </c>
    </row>
    <row r="10" ht="22" customHeight="1">
      <c r="B10" s="45" t="n">
        <v>6</v>
      </c>
      <c r="C10" s="45" t="inlineStr">
        <is>
          <t>Chicken Curry</t>
        </is>
      </c>
      <c r="D10" s="45" t="inlineStr">
        <is>
          <t>Adrak</t>
        </is>
      </c>
      <c r="E10" s="50" t="n">
        <v>0.5</v>
      </c>
      <c r="F10" s="45" t="inlineStr">
        <is>
          <t>kg</t>
        </is>
      </c>
    </row>
    <row r="11" ht="22" customHeight="1">
      <c r="B11" s="42" t="n">
        <v>7</v>
      </c>
      <c r="C11" s="42" t="inlineStr">
        <is>
          <t>Chicken Curry</t>
        </is>
      </c>
      <c r="D11" s="42" t="inlineStr">
        <is>
          <t>Tomato</t>
        </is>
      </c>
      <c r="E11" s="48" t="n">
        <v>5</v>
      </c>
      <c r="F11" s="42" t="inlineStr">
        <is>
          <t>kg</t>
        </is>
      </c>
    </row>
    <row r="12" ht="22" customHeight="1">
      <c r="B12" s="45" t="n">
        <v>8</v>
      </c>
      <c r="C12" s="45" t="inlineStr">
        <is>
          <t>Dal Rice</t>
        </is>
      </c>
      <c r="D12" s="45" t="inlineStr">
        <is>
          <t>Mirch-P</t>
        </is>
      </c>
      <c r="E12" s="50" t="n">
        <v>0.1</v>
      </c>
      <c r="F12" s="45" t="inlineStr">
        <is>
          <t>kg</t>
        </is>
      </c>
    </row>
    <row r="13" ht="22" customHeight="1">
      <c r="B13" s="42" t="n">
        <v>9</v>
      </c>
      <c r="C13" s="42" t="inlineStr">
        <is>
          <t>Chicken Curry</t>
        </is>
      </c>
      <c r="D13" s="42" t="inlineStr">
        <is>
          <t>Mirch-P</t>
        </is>
      </c>
      <c r="E13" s="48" t="n">
        <v>0.2</v>
      </c>
      <c r="F13" s="42" t="inlineStr">
        <is>
          <t>kg</t>
        </is>
      </c>
    </row>
    <row r="14" ht="22" customHeight="1">
      <c r="B14" s="45" t="n">
        <v>10</v>
      </c>
      <c r="C14" s="45" t="inlineStr">
        <is>
          <t>Chicken Curry</t>
        </is>
      </c>
      <c r="D14" s="45" t="inlineStr">
        <is>
          <t>Haldi-P</t>
        </is>
      </c>
      <c r="E14" s="50" t="n">
        <v>0.1</v>
      </c>
      <c r="F14" s="45" t="inlineStr">
        <is>
          <t>kg</t>
        </is>
      </c>
    </row>
    <row r="15" ht="22" customHeight="1">
      <c r="B15" s="42" t="n">
        <v>11</v>
      </c>
      <c r="C15" s="42" t="inlineStr">
        <is>
          <t>Chicken Curry</t>
        </is>
      </c>
      <c r="D15" s="42" t="inlineStr">
        <is>
          <t>Onion</t>
        </is>
      </c>
      <c r="E15" s="48" t="n">
        <v>5</v>
      </c>
      <c r="F15" s="42" t="inlineStr">
        <is>
          <t>kg</t>
        </is>
      </c>
    </row>
    <row r="16" ht="22" customHeight="1">
      <c r="B16" s="45" t="n">
        <v>12</v>
      </c>
      <c r="C16" s="45" t="inlineStr">
        <is>
          <t>Chicken Curry</t>
        </is>
      </c>
      <c r="D16" s="45" t="inlineStr">
        <is>
          <t>Garam Masala</t>
        </is>
      </c>
      <c r="E16" s="50" t="n">
        <v>0.1</v>
      </c>
      <c r="F16" s="45" t="inlineStr">
        <is>
          <t>kg</t>
        </is>
      </c>
    </row>
    <row r="17" ht="22" customHeight="1">
      <c r="B17" s="42" t="n">
        <v>13</v>
      </c>
      <c r="C17" s="42" t="inlineStr">
        <is>
          <t>Dal Rice</t>
        </is>
      </c>
      <c r="D17" s="42" t="inlineStr">
        <is>
          <t>Haldi-P</t>
        </is>
      </c>
      <c r="E17" s="48" t="n">
        <v>0.1</v>
      </c>
      <c r="F17" s="42" t="inlineStr">
        <is>
          <t>kg</t>
        </is>
      </c>
    </row>
    <row r="18" ht="22" customHeight="1">
      <c r="B18" s="45" t="n">
        <v>14</v>
      </c>
      <c r="C18" s="45" t="inlineStr">
        <is>
          <t>Chicken Curry</t>
        </is>
      </c>
      <c r="D18" s="45" t="inlineStr">
        <is>
          <t>CHICKEN</t>
        </is>
      </c>
      <c r="E18" s="50" t="n">
        <v>15</v>
      </c>
      <c r="F18" s="45" t="inlineStr">
        <is>
          <t>kg</t>
        </is>
      </c>
    </row>
  </sheetData>
  <mergeCells count="1">
    <mergeCell ref="B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8" customWidth="1" min="4" max="4"/>
    <col width="20" customWidth="1" min="5" max="5"/>
    <col width="18" customWidth="1" min="6" max="6"/>
    <col width="22" customWidth="1" min="7" max="7"/>
  </cols>
  <sheetData>
    <row r="1" ht="15" customHeight="1"/>
    <row r="2" ht="32" customHeight="1">
      <c r="B2" s="40" t="inlineStr">
        <is>
          <t>RCS Canteen — Budget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Month</t>
        </is>
      </c>
      <c r="D4" s="41" t="inlineStr">
        <is>
          <t>Food Budget</t>
        </is>
      </c>
      <c r="E4" s="41" t="inlineStr">
        <is>
          <t>Operating Budget</t>
        </is>
      </c>
      <c r="F4" s="41" t="inlineStr">
        <is>
          <t>Total Budget</t>
        </is>
      </c>
      <c r="G4" s="41" t="inlineStr">
        <is>
          <t>Alert Threshold (%)</t>
        </is>
      </c>
    </row>
    <row r="5" ht="22" customHeight="1">
      <c r="B5" s="42" t="n">
        <v>1</v>
      </c>
      <c r="C5" s="42" t="inlineStr">
        <is>
          <t>2026-08</t>
        </is>
      </c>
      <c r="D5" s="52" t="n">
        <v>500000</v>
      </c>
      <c r="E5" s="52" t="n">
        <v>750000</v>
      </c>
      <c r="F5" s="52" t="n">
        <v>750000</v>
      </c>
      <c r="G5" s="53" t="n">
        <v>80</v>
      </c>
    </row>
  </sheetData>
  <mergeCells count="1">
    <mergeCell ref="B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6" customWidth="1" min="4" max="4"/>
    <col width="28" customWidth="1" min="5" max="5"/>
    <col width="14" customWidth="1" min="6" max="6"/>
    <col width="16" customWidth="1" min="7" max="7"/>
    <col width="16" customWidth="1" min="8" max="8"/>
    <col width="28" customWidth="1" min="9" max="9"/>
  </cols>
  <sheetData>
    <row r="1" ht="15" customHeight="1"/>
    <row r="2" ht="32" customHeight="1">
      <c r="B2" s="40" t="inlineStr">
        <is>
          <t>RCS Canteen — Expenses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Date</t>
        </is>
      </c>
      <c r="D4" s="41" t="inlineStr">
        <is>
          <t>Category</t>
        </is>
      </c>
      <c r="E4" s="41" t="inlineStr">
        <is>
          <t>Description</t>
        </is>
      </c>
      <c r="F4" s="41" t="inlineStr">
        <is>
          <t>Amount</t>
        </is>
      </c>
      <c r="G4" s="41" t="inlineStr">
        <is>
          <t>Payment Method</t>
        </is>
      </c>
      <c r="H4" s="41" t="inlineStr">
        <is>
          <t>Approved By</t>
        </is>
      </c>
      <c r="I4" s="41" t="inlineStr">
        <is>
          <t>Notes</t>
        </is>
      </c>
    </row>
  </sheetData>
  <mergeCells count="1">
    <mergeCell ref="B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4" customWidth="1" min="4" max="4"/>
    <col width="10" customWidth="1" min="5" max="5"/>
    <col width="28" customWidth="1" min="6" max="6"/>
  </cols>
  <sheetData>
    <row r="1" ht="15" customHeight="1"/>
    <row r="2" ht="32" customHeight="1">
      <c r="B2" s="40" t="inlineStr">
        <is>
          <t>RCS Canteen — Daily Meals Served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Date</t>
        </is>
      </c>
      <c r="D4" s="41" t="inlineStr">
        <is>
          <t>Meal Type</t>
        </is>
      </c>
      <c r="E4" s="41" t="inlineStr">
        <is>
          <t>Count</t>
        </is>
      </c>
      <c r="F4" s="41" t="inlineStr">
        <is>
          <t>Notes</t>
        </is>
      </c>
    </row>
  </sheetData>
  <mergeCells count="1">
    <mergeCell ref="B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8" customWidth="1" min="4" max="4"/>
    <col width="16" customWidth="1" min="5" max="5"/>
    <col width="14" customWidth="1" min="6" max="6"/>
    <col width="10" customWidth="1" min="7" max="7"/>
    <col width="18" customWidth="1" min="8" max="8"/>
    <col width="28" customWidth="1" min="9" max="9"/>
  </cols>
  <sheetData>
    <row r="1" ht="15" customHeight="1"/>
    <row r="2" ht="32" customHeight="1">
      <c r="B2" s="40" t="inlineStr">
        <is>
          <t>RCS Canteen — Stock Movement Log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Date</t>
        </is>
      </c>
      <c r="D4" s="41" t="inlineStr">
        <is>
          <t>Ingredient</t>
        </is>
      </c>
      <c r="E4" s="41" t="inlineStr">
        <is>
          <t>Movement Type</t>
        </is>
      </c>
      <c r="F4" s="41" t="inlineStr">
        <is>
          <t>Quantity</t>
        </is>
      </c>
      <c r="G4" s="41" t="inlineStr">
        <is>
          <t>Unit</t>
        </is>
      </c>
      <c r="H4" s="41" t="inlineStr">
        <is>
          <t>Reference</t>
        </is>
      </c>
      <c r="I4" s="41" t="inlineStr">
        <is>
          <t>Notes</t>
        </is>
      </c>
    </row>
  </sheetData>
  <mergeCells count="1">
    <mergeCell ref="B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0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36" customWidth="1" min="9" max="9"/>
  </cols>
  <sheetData>
    <row r="1" ht="15" customHeight="1"/>
    <row r="2" ht="32" customHeight="1">
      <c r="B2" s="40" t="inlineStr">
        <is>
          <t>RCS Canteen — Audit Log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Date</t>
        </is>
      </c>
      <c r="D4" s="41" t="inlineStr">
        <is>
          <t>User</t>
        </is>
      </c>
      <c r="E4" s="41" t="inlineStr">
        <is>
          <t>Role</t>
        </is>
      </c>
      <c r="F4" s="41" t="inlineStr">
        <is>
          <t>Action</t>
        </is>
      </c>
      <c r="G4" s="41" t="inlineStr">
        <is>
          <t>Entity Type</t>
        </is>
      </c>
      <c r="H4" s="41" t="inlineStr">
        <is>
          <t>Entity Name</t>
        </is>
      </c>
      <c r="I4" s="41" t="inlineStr">
        <is>
          <t>Description</t>
        </is>
      </c>
    </row>
    <row r="5" ht="22" customHeight="1">
      <c r="B5" s="42" t="n">
        <v>1</v>
      </c>
      <c r="C5" s="42" t="inlineStr">
        <is>
          <t>2026-08-03T09:48:05+05:30</t>
        </is>
      </c>
      <c r="D5" s="42" t="inlineStr">
        <is>
          <t>System</t>
        </is>
      </c>
      <c r="E5" s="42" t="inlineStr"/>
      <c r="F5" s="42" t="inlineStr">
        <is>
          <t>CREATE</t>
        </is>
      </c>
      <c r="G5" s="42" t="inlineStr">
        <is>
          <t>Budget</t>
        </is>
      </c>
      <c r="H5" s="42" t="inlineStr">
        <is>
          <t>2026-08</t>
        </is>
      </c>
      <c r="I5" s="42" t="inlineStr">
        <is>
          <t>Created budget for 2026-08</t>
        </is>
      </c>
    </row>
    <row r="6" ht="22" customHeight="1">
      <c r="B6" s="45" t="n">
        <v>2</v>
      </c>
      <c r="C6" s="45" t="inlineStr">
        <is>
          <t>2026-08-03T09:47:13+05:30</t>
        </is>
      </c>
      <c r="D6" s="45" t="inlineStr">
        <is>
          <t>System</t>
        </is>
      </c>
      <c r="E6" s="45" t="inlineStr"/>
      <c r="F6" s="45" t="inlineStr">
        <is>
          <t>SEED</t>
        </is>
      </c>
      <c r="G6" s="45" t="inlineStr">
        <is>
          <t>System</t>
        </is>
      </c>
      <c r="H6" s="45" t="inlineStr"/>
      <c r="I6" s="45" t="inlineStr">
        <is>
          <t>Database seeded with sample data</t>
        </is>
      </c>
    </row>
  </sheetData>
  <mergeCells count="1">
    <mergeCell ref="B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28" customWidth="1" min="4" max="4"/>
    <col width="12" customWidth="1" min="5" max="5"/>
  </cols>
  <sheetData>
    <row r="1" ht="15" customHeight="1"/>
    <row r="2" ht="32" customHeight="1">
      <c r="B2" s="40" t="inlineStr">
        <is>
          <t>RCS Canteen — Users</t>
        </is>
      </c>
    </row>
    <row r="3" ht="8" customHeight="1"/>
    <row r="4" ht="28" customHeight="1">
      <c r="B4" s="41" t="inlineStr">
        <is>
          <t>No</t>
        </is>
      </c>
      <c r="C4" s="41" t="inlineStr">
        <is>
          <t>Name</t>
        </is>
      </c>
      <c r="D4" s="41" t="inlineStr">
        <is>
          <t>Email</t>
        </is>
      </c>
      <c r="E4" s="41" t="inlineStr">
        <is>
          <t>Role</t>
        </is>
      </c>
    </row>
    <row r="5" ht="22" customHeight="1">
      <c r="B5" s="42" t="n">
        <v>1</v>
      </c>
      <c r="C5" s="42" t="inlineStr">
        <is>
          <t>Admin User</t>
        </is>
      </c>
      <c r="D5" s="42" t="inlineStr">
        <is>
          <t>admin@rcs-canteen.com</t>
        </is>
      </c>
      <c r="E5" s="42" t="inlineStr">
        <is>
          <t>admin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RCS Canteen Stock — Enhanced</dc:title>
  <dc:subject xmlns:dc="http://purl.org/dc/elements/1.1/">RCS Canteen Management — Complete Data from JSON Backup</dc:subject>
  <dcterms:created xmlns:dcterms="http://purl.org/dc/terms/" xmlns:xsi="http://www.w3.org/2001/XMLSchema-instance" xsi:type="dcterms:W3CDTF">2026-08-03T04:35:05Z</dcterms:created>
  <dcterms:modified xmlns:dcterms="http://purl.org/dc/terms/" xmlns:xsi="http://www.w3.org/2001/XMLSchema-instance" xsi:type="dcterms:W3CDTF">2026-08-03T04:35:12Z</dcterms:modified>
</cp:coreProperties>
</file>